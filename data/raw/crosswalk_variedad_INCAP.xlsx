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630" documentId="14_{F8BE0E5F-76BA-446B-8942-BC5680A971A3}" xr6:coauthVersionLast="47" xr6:coauthVersionMax="47" xr10:uidLastSave="{BFFF6C68-3DC3-41E6-9B4C-6932758A73CA}"/>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Datos!$A$1:$S$773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<sst xmlns="http://schemas.openxmlformats.org/spreadsheetml/2006/main" count="5053" uniqueCount="2233">
  <si>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</si>
  <si>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</si>
  <si>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</si>
  <si>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</si>
  <si>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</si>
  <si>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</si>
  <si>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</si>
  <si>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</si>
  <si>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</si>
  <si>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</si>
  <si>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</si>
  <si>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</si>
  <si>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</si>
  <si>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</si>
  <si>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</si>
  <si>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</si>
  <si>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</si>
  <si>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</si>
  <si>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</si>
  <si>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</si>
  <si>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</si>
  <si>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</si>
  <si>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</si>
  <si>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</si>
  <si>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</si>
  <si>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</si>
  <si>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</si>
  <si>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</si>
  <si>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</si>
  <si>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</si>
  <si>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</si>
  <si>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</si>
  <si>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</si>
  <si>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</si>
  <si>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</si>
  <si>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</si>
  <si>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</si>
  <si>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</si>
  <si>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</si>
  <si>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</si>
  <si>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</si>
  <si>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</si>
  <si>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</si>
  <si>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</si>
  <si>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</si>
  <si>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</si>
  <si>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</si>
  <si>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</si>
  <si>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</si>
  <si>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</si>
  <si>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</si>
  <si>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</si>
  <si>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</si>
  <si>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</si>
  <si>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</si>
  <si>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</si>
  <si>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</si>
  <si>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</si>
  <si>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</si>
  <si>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</si>
  <si>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</si>
  <si>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</si>
  <si>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</si>
  <si>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</si>
  <si>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</si>
  <si>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</si>
  <si>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</si>
  <si>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</si>
  <si>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</si>
  <si>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</si>
  <si>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</si>
  <si>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</si>
  <si>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</si>
  <si>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</si>
  <si>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</si>
  <si>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</si>
  <si>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</si>
  <si>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</si>
  <si>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</si>
  <si>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</si>
  <si>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</si>
  <si>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</si>
  <si>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</si>
  <si>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</si>
  <si>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</si>
  <si>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</si>
  <si>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</si>
  <si>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</si>
  <si>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</si>
  <si>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</si>
  <si>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</si>
  <si>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</si>
  <si>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</si>
  <si>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</si>
  <si>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</si>
  <si>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</si>
  <si>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</si>
  <si>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</si>
  <si>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</si>
  <si>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</si>
  <si>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</si>
  <si>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</si>
  <si>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</si>
  <si>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</si>
  <si>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</si>
  <si>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</si>
  <si>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</si>
  <si>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</si>
  <si>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</si>
  <si>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</si>
  <si>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</si>
  <si>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</si>
  <si>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</si>
  <si>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</si>
  <si>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</si>
  <si>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</si>
  <si>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</si>
  <si>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</si>
  <si>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</si>
  <si>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</si>
  <si>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</si>
  <si>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</si>
  <si>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</si>
  <si>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</si>
  <si>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</si>
  <si>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</si>
  <si>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</si>
  <si>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</si>
  <si>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</si>
  <si>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</si>
  <si>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</si>
  <si>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</si>
  <si>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</si>
  <si>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</si>
  <si>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</si>
  <si>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</si>
  <si>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</si>
  <si>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</si>
  <si>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</si>
  <si>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</si>
  <si>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</si>
  <si>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</si>
  <si>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</si>
  <si>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</si>
  <si>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</si>
  <si>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</si>
  <si>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</si>
  <si>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</si>
  <si>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</si>
  <si>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</si>
  <si>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</si>
  <si>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</si>
  <si>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</si>
  <si>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</si>
  <si>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</si>
  <si>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</si>
  <si>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</si>
  <si>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</si>
  <si>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</si>
  <si>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</si>
  <si>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</si>
  <si>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</si>
  <si>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</si>
  <si>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</si>
  <si>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</si>
  <si>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</si>
  <si>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</si>
  <si>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</si>
  <si>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</si>
  <si>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</si>
  <si>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</si>
  <si>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</si>
  <si>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</si>
  <si>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</si>
  <si>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</si>
  <si>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</si>
  <si>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</si>
  <si>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</si>
  <si>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</si>
  <si>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</si>
  <si>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</si>
  <si>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</si>
  <si>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</si>
  <si>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</si>
  <si>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</si>
  <si>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</si>
  <si>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</si>
  <si>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</si>
  <si>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</si>
  <si>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</si>
  <si>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</si>
  <si>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</si>
  <si>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</si>
  <si>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</si>
  <si>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</si>
  <si>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</si>
  <si>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</si>
  <si>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</si>
  <si>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</si>
  <si>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</si>
  <si>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</si>
  <si>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</si>
  <si>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</si>
  <si>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</si>
  <si>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</si>
  <si>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</si>
  <si>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</si>
  <si>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</si>
  <si>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</si>
  <si>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</si>
  <si>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</si>
  <si>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</si>
  <si>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</si>
  <si>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</si>
  <si>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</si>
  <si>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</si>
  <si>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</si>
  <si>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</si>
  <si>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</si>
  <si>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</si>
  <si>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</si>
  <si>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</si>
  <si>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</si>
  <si>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</si>
  <si>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</si>
  <si>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</si>
  <si>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</si>
  <si>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</si>
  <si>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</si>
  <si>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</si>
  <si>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</si>
  <si>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</si>
  <si>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</si>
  <si>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</si>
  <si>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</si>
  <si>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</si>
  <si>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</si>
  <si>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</si>
  <si>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</si>
  <si>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</si>
  <si>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</si>
  <si>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</si>
  <si>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</si>
  <si>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</si>
  <si>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</si>
  <si>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</si>
  <si>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</si>
  <si>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</si>
  <si>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</si>
  <si>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</si>
  <si>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</si>
  <si>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</si>
  <si>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</si>
  <si>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</si>
  <si>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</si>
  <si>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</si>
  <si>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</si>
  <si>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</si>
  <si>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</si>
  <si>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</si>
  <si>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</si>
  <si>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</si>
  <si>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</si>
  <si>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</si>
  <si>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</si>
  <si>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</si>
  <si>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</si>
  <si>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</si>
  <si>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</si>
  <si>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</si>
  <si>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</si>
  <si>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</si>
  <si>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</si>
  <si>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</si>
  <si>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</si>
  <si>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</si>
  <si>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</si>
  <si>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</si>
  <si>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</si>
  <si>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</si>
  <si>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</si>
  <si>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</si>
  <si>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</si>
  <si>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</si>
  <si>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</si>
  <si>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</si>
  <si>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</si>
  <si>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</si>
  <si>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</si>
  <si>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</si>
  <si>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</si>
  <si>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</si>
  <si>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</si>
  <si>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</si>
  <si>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</si>
  <si>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</si>
  <si>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</si>
  <si>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</si>
  <si>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</si>
  <si>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</si>
  <si>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</si>
  <si>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</si>
  <si>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</si>
  <si>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</si>
  <si>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</si>
  <si>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</si>
  <si>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</si>
  <si>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</si>
  <si>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</si>
  <si>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</si>
  <si>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</si>
  <si>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</si>
  <si>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</si>
  <si>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</si>
  <si>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</si>
  <si>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</si>
  <si>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</si>
  <si>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</si>
  <si>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</si>
  <si>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</si>
  <si>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</si>
  <si>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</si>
  <si>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</si>
  <si>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</si>
  <si>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</si>
  <si>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</si>
  <si>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</si>
  <si>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</si>
  <si>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</si>
  <si>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</si>
  <si>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</si>
  <si>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</si>
  <si>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</si>
  <si>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</si>
  <si>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</si>
  <si>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</si>
  <si>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</si>
  <si>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</si>
  <si>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</si>
  <si>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</si>
  <si>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</si>
  <si>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</si>
  <si>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</si>
  <si>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</si>
  <si>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</si>
  <si>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</si>
  <si>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</si>
  <si>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</si>
  <si>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</si>
  <si>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</si>
  <si>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</si>
  <si>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</si>
  <si>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</si>
  <si>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</si>
  <si>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</si>
  <si>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</si>
  <si>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</si>
  <si>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</si>
  <si>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</si>
  <si>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</si>
  <si>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</si>
  <si>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</si>
  <si>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</si>
  <si>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</si>
  <si>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</si>
  <si>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</si>
  <si>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</si>
  <si>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</si>
  <si>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</si>
  <si>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</si>
  <si>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</si>
  <si>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</si>
  <si>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</si>
  <si>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</si>
  <si>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</si>
  <si>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</si>
  <si>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</si>
  <si>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</si>
  <si>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</si>
  <si>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</si>
  <si>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</si>
  <si>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</si>
  <si>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</si>
  <si>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</si>
  <si>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</si>
  <si>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</si>
  <si>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</si>
  <si>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</si>
  <si>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</si>
  <si>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</si>
  <si>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</si>
  <si>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</si>
  <si>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</si>
  <si>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</si>
  <si>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</si>
  <si>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</si>
  <si>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</si>
  <si>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</si>
  <si>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</si>
  <si>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</si>
  <si>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</si>
  <si>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</si>
  <si>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</si>
  <si>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</si>
  <si>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</si>
  <si>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</si>
  <si>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</si>
  <si>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</si>
  <si>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</si>
  <si>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</si>
  <si>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</si>
  <si>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</si>
  <si>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</si>
  <si>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</si>
  <si>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</si>
  <si>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</si>
  <si>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</si>
  <si>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</si>
  <si>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</si>
  <si>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</si>
  <si>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</si>
  <si>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</si>
  <si>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</si>
  <si>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</si>
  <si>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</si>
  <si>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</si>
  <si>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</si>
  <si>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</si>
  <si>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</si>
  <si>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</si>
  <si>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</si>
  <si>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</si>
  <si>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</si>
  <si>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</si>
  <si>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</si>
  <si>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</si>
  <si>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</si>
  <si>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</si>
  <si>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</si>
  <si>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</si>
  <si>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</si>
  <si>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</si>
  <si>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</si>
  <si>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</si>
  <si>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</si>
  <si>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</si>
  <si>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</si>
  <si>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</si>
  <si>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</si>
  <si>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</si>
  <si>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</si>
  <si>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</si>
  <si>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</si>
  <si>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</si>
  <si>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</si>
  <si>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</si>
  <si>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</si>
  <si>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</si>
  <si>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</si>
  <si>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</si>
  <si>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</si>
  <si>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</si>
  <si>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</si>
  <si>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</si>
  <si>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</si>
  <si>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</si>
  <si>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</si>
  <si>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</si>
  <si>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</si>
  <si>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</si>
  <si>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</si>
  <si>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</si>
  <si>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</si>
  <si>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</si>
  <si>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</si>
  <si>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</si>
  <si>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</si>
  <si>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</si>
  <si>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</si>
  <si>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</si>
  <si>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</si>
  <si>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</si>
  <si>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</si>
  <si>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</si>
  <si>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</si>
  <si>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</si>
  <si>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</si>
  <si>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</si>
  <si>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</si>
  <si>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</si>
  <si>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</si>
  <si>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</si>
  <si>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</si>
  <si>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</si>
  <si>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</si>
  <si>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</si>
  <si>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</si>
  <si>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</si>
  <si>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</si>
  <si>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</si>
  <si>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</si>
  <si>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</si>
  <si>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</si>
  <si>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</si>
  <si>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</si>
  <si>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</si>
  <si>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</si>
  <si>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</si>
  <si>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</si>
  <si>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</si>
  <si>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</si>
  <si>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</si>
  <si>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</si>
  <si>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</si>
  <si>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</si>
  <si>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</si>
  <si>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</si>
  <si>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</si>
  <si>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</si>
  <si>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</si>
  <si>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</si>
  <si>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</si>
  <si>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</si>
  <si>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</si>
  <si>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</si>
  <si>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</si>
  <si>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</si>
  <si>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</si>
  <si>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</si>
  <si>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</si>
  <si>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</si>
  <si>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</si>
  <si>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</si>
  <si>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</si>
  <si>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</si>
  <si>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</si>
  <si>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</si>
  <si>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</si>
  <si>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</si>
  <si>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</si>
  <si>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</si>
  <si>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</si>
  <si>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</si>
  <si>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</si>
  <si>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</si>
  <si>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</si>
  <si>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</si>
  <si>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</si>
  <si>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</si>
  <si>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</si>
  <si>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</si>
  <si>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</si>
  <si>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</si>
  <si>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</si>
  <si>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</si>
  <si>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</si>
  <si>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</si>
  <si>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</si>
  <si>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</si>
  <si>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</si>
  <si>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</si>
  <si>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</si>
  <si>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</si>
  <si>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</si>
  <si>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</si>
  <si>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</si>
  <si>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</si>
  <si>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</si>
  <si>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</si>
  <si>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</si>
  <si>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</si>
  <si>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</si>
  <si>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</si>
  <si>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</si>
  <si>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</si>
  <si>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</si>
  <si>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</si>
  <si>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</si>
  <si>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</si>
  <si>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</si>
  <si>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</si>
  <si>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</si>
  <si>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</si>
  <si>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</si>
  <si>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</si>
  <si>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</si>
  <si>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</si>
  <si>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</si>
  <si>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</si>
  <si>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</si>
  <si>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</si>
  <si>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</si>
  <si>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</si>
  <si>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</si>
  <si>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</si>
  <si>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</si>
  <si>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</si>
  <si>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</si>
  <si>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</si>
  <si>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</si>
  <si>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</si>
  <si>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</si>
  <si>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</si>
  <si>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</si>
  <si>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</si>
  <si>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</si>
  <si>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</si>
  <si>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</si>
  <si>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</si>
  <si>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</si>
  <si>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</si>
  <si>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</si>
  <si>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</si>
  <si>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</si>
  <si>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</si>
  <si>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</si>
  <si>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</si>
  <si>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</si>
  <si>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</si>
  <si>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</si>
  <si>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</si>
  <si>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</si>
  <si>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</si>
  <si>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</si>
  <si>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</si>
  <si>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</si>
  <si>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</si>
  <si>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</si>
  <si>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</si>
  <si>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</si>
  <si>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</si>
  <si>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</si>
  <si>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</si>
  <si>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</si>
  <si>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</si>
  <si>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</si>
  <si>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</si>
  <si>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</si>
  <si>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</si>
  <si>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</si>
  <si>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</si>
  <si>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</si>
  <si>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</si>
  <si>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</si>
  <si>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</si>
  <si>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</si>
  <si>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</si>
  <si>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</si>
  <si>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</si>
  <si>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</si>
  <si>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</si>
  <si>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</si>
  <si>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</si>
  <si>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</si>
  <si>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</si>
  <si>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</si>
  <si>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</si>
  <si>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</si>
  <si>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</si>
  <si>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</si>
  <si>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</si>
  <si>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</si>
  <si>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</si>
  <si>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</si>
  <si>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</si>
  <si>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</si>
  <si>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</si>
  <si>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</si>
  <si>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</si>
  <si>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</si>
  <si>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</si>
  <si>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</si>
  <si>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</si>
  <si>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</si>
  <si>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</si>
  <si>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</si>
  <si>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</si>
  <si>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</si>
  <si>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</si>
  <si>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</si>
  <si>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</si>
  <si>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</si>
  <si>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</si>
  <si>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</si>
  <si>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</si>
  <si>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</si>
  <si>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</si>
  <si>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</si>
  <si>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</si>
  <si>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</si>
  <si>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</si>
  <si>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</si>
  <si>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</si>
  <si>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</si>
  <si>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</si>
  <si>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</si>
  <si>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</si>
  <si>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</si>
  <si>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</si>
  <si>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</si>
  <si>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</si>
  <si>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</si>
  <si>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</si>
  <si>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</si>
  <si>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</si>
  <si>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</si>
  <si>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</si>
  <si>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</si>
  <si>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</si>
  <si>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</si>
  <si>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</si>
  <si>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</si>
  <si>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</si>
  <si>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</si>
  <si>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</si>
  <si>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</si>
  <si>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</si>
  <si>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</si>
  <si>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</si>
  <si>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</si>
  <si>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</si>
  <si>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</si>
  <si>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</si>
  <si>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</si>
  <si>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</si>
  <si>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</si>
  <si>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</si>
  <si>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</si>
  <si>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</si>
  <si>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</si>
  <si>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</si>
  <si>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</si>
  <si>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</si>
  <si>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</si>
  <si>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</si>
  <si>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</si>
  <si>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</si>
  <si>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</si>
  <si>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</si>
  <si>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</si>
  <si>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</si>
  <si>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</si>
  <si>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</si>
  <si>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</si>
  <si>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</si>
  <si>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</si>
  <si>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</si>
  <si>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</si>
  <si>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</si>
  <si>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</si>
  <si>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</si>
  <si>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</si>
  <si>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</si>
  <si>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</si>
  <si>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</si>
  <si>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</si>
  <si>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</si>
  <si>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</si>
  <si>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</si>
  <si>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</si>
  <si>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</si>
  <si>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</si>
  <si>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</si>
  <si>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</si>
  <si>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</si>
  <si>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</si>
  <si>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</si>
  <si>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</si>
  <si>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</si>
  <si>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</si>
  <si>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</si>
  <si>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</si>
  <si>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</si>
  <si>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</si>
  <si>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</si>
  <si>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</si>
  <si>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</si>
  <si>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</si>
  <si>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</si>
  <si>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</si>
  <si>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</si>
  <si>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</si>
  <si>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</si>
  <si>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</si>
  <si>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</si>
  <si>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</si>
  <si>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</si>
  <si>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</si>
  <si>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</si>
  <si>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</si>
  <si>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</si>
  <si>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</si>
  <si>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</si>
  <si>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</si>
  <si>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</si>
  <si>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</si>
  <si>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</si>
  <si>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</si>
  <si>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</si>
  <si>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</si>
  <si>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</si>
  <si>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</si>
  <si>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</si>
  <si>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</si>
  <si>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</si>
  <si>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</si>
  <si>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</si>
  <si>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</si>
  <si>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</si>
  <si>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</si>
  <si>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</si>
  <si>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</si>
  <si>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</si>
  <si>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</si>
  <si>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</si>
  <si>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</si>
  <si>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</si>
  <si>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</si>
  <si>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</si>
  <si>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</si>
  <si>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</si>
  <si>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</si>
  <si>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</si>
  <si>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</si>
  <si>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</si>
  <si>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</si>
  <si>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</si>
  <si>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</si>
  <si>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</si>
  <si>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</si>
  <si>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</si>
  <si>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</si>
  <si>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</si>
  <si>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</si>
  <si>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</si>
  <si>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</si>
  <si>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</si>
  <si>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</si>
  <si>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</si>
  <si>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</si>
  <si>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</si>
  <si>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</si>
  <si>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</si>
  <si>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</si>
  <si>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</si>
  <si>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</si>
  <si>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</si>
  <si>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</si>
  <si>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</si>
  <si>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</si>
  <si>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</si>
  <si>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</si>
  <si>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</si>
  <si>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</si>
  <si>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</si>
  <si>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</si>
  <si>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</si>
  <si>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</si>
  <si>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</si>
  <si>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</si>
  <si>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</si>
  <si>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</si>
  <si>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</si>
  <si>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</si>
  <si>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</si>
  <si>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</si>
  <si>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</si>
  <si>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</si>
  <si>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</si>
  <si>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</si>
  <si>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</si>
  <si>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</si>
  <si>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</si>
  <si>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</si>
  <si>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</si>
  <si>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</si>
  <si>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</si>
  <si>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</si>
  <si>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</si>
  <si>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</si>
  <si>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</si>
  <si>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</si>
  <si>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</si>
  <si>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</si>
  <si>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</si>
  <si>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</si>
  <si>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</si>
  <si>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</si>
  <si>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</si>
  <si>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</si>
  <si>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</si>
  <si>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</si>
  <si>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</si>
  <si>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</si>
  <si>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</si>
  <si>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</si>
  <si>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</si>
  <si>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</si>
  <si>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</si>
  <si>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</si>
  <si>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</si>
  <si>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</si>
  <si>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</si>
  <si>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</si>
  <si>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</si>
  <si>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</si>
  <si>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</si>
  <si>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</si>
  <si>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</si>
  <si>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</si>
  <si>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</si>
  <si>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</si>
  <si>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</si>
  <si>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</si>
  <si>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</si>
  <si>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</si>
  <si>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</si>
  <si>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</si>
  <si>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</si>
  <si>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</si>
  <si>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</si>
  <si>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</si>
  <si>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</si>
  <si>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</si>
  <si>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</si>
  <si>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</si>
  <si>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</si>
  <si>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</si>
  <si>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</si>
  <si>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</si>
  <si>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</si>
  <si>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</si>
  <si>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</si>
  <si>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</si>
  <si>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</si>
  <si>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</si>
  <si>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</si>
  <si>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</si>
  <si>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</si>
  <si>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</si>
  <si>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</si>
  <si>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</si>
  <si>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</si>
  <si>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</si>
  <si>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</si>
  <si>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</si>
  <si>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</si>
  <si>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</si>
  <si>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</si>
  <si>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</si>
  <si>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</si>
  <si>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</si>
  <si>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</si>
  <si>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</si>
  <si>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</si>
  <si>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</si>
  <si>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</si>
  <si>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</si>
  <si>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</si>
  <si>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</si>
  <si>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</si>
  <si>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</si>
  <si>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</si>
  <si>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</si>
  <si>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</si>
  <si>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</si>
  <si>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</si>
  <si>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</si>
  <si>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</si>
  <si>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</si>
  <si>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</si>
  <si>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</si>
  <si>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</si>
  <si>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</si>
  <si>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</si>
  <si>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</si>
  <si>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</si>
  <si>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</si>
  <si>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</si>
  <si>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</si>
  <si>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</si>
  <si>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</si>
  <si>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</si>
  <si>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</si>
  <si>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</si>
  <si>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</si>
  <si>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</si>
  <si>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</si>
  <si>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</si>
  <si>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</si>
  <si>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</si>
  <si>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</si>
  <si>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</si>
  <si>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</si>
  <si>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</si>
  <si>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</si>
  <si>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</si>
  <si>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</si>
  <si>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</si>
  <si>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</si>
  <si>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</si>
  <si>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</si>
  <si>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</si>
  <si>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</si>
  <si>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</si>
  <si>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</si>
  <si>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</si>
  <si>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</si>
  <si>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</si>
  <si>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</si>
  <si>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</si>
  <si>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</si>
  <si>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</si>
  <si>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</si>
  <si>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</si>
  <si>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</si>
  <si>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</si>
  <si>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</si>
  <si>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</si>
  <si>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</si>
  <si>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</si>
  <si>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</si>
  <si>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</si>
  <si>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</si>
  <si>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</si>
  <si>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</si>
  <si>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</si>
  <si>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</si>
  <si>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</si>
  <si>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</si>
  <si>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</si>
  <si>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</si>
  <si>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</si>
  <si>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</si>
  <si>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</si>
  <si>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</si>
  <si>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</si>
  <si>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</si>
  <si>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</si>
  <si>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</si>
  <si>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</si>
  <si>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</si>
  <si>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</si>
  <si>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</si>
  <si>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</si>
  <si>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</si>
  <si>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</si>
  <si>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</si>
  <si>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</si>
  <si>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</si>
  <si>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</si>
  <si>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</si>
  <si>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</si>
  <si>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</si>
  <si>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</si>
  <si>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</si>
  <si>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</si>
  <si>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</si>
  <si>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</si>
  <si>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</si>
  <si>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</si>
  <si>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</si>
  <si>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</si>
  <si>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</si>
  <si>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</si>
  <si>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</si>
  <si>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</si>
  <si>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</si>
  <si>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</si>
  <si>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</si>
  <si>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</si>
  <si>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</si>
  <si>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</si>
  <si>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</si>
  <si>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</si>
  <si>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</si>
  <si>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</si>
  <si>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</si>
  <si>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</si>
  <si>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</si>
  <si>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</si>
  <si>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</si>
  <si>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</si>
  <si>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</si>
  <si>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</si>
  <si>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</si>
  <si>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</si>
  <si>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</si>
  <si>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</si>
  <si>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</si>
  <si>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</si>
  <si>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</si>
  <si>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</si>
  <si>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</si>
  <si>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</si>
  <si>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</si>
  <si>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</si>
  <si>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</si>
  <si>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</si>
  <si>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</si>
  <si>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</si>
  <si>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</si>
  <si>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</si>
  <si>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</si>
  <si>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</si>
  <si>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</si>
  <si>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</si>
  <si>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</si>
  <si>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</si>
  <si>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</si>
  <si>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</si>
  <si>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</si>
  <si>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</si>
  <si>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</si>
  <si>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</si>
  <si>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</si>
  <si>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</si>
  <si>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</si>
  <si>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</si>
  <si>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</si>
  <si>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</si>
  <si>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</si>
  <si>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</si>
  <si>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</si>
  <si>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</si>
  <si>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</si>
  <si>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</si>
  <si>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</si>
  <si>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</si>
  <si>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</si>
  <si>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</si>
  <si>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</si>
  <si>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</si>
  <si>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</si>
  <si>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</si>
  <si>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</si>
  <si>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</si>
  <si>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</si>
  <si>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</si>
  <si>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</si>
  <si>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</si>
  <si>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</si>
  <si>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</si>
  <si>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</si>
  <si>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</si>
  <si>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</si>
  <si>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</si>
  <si>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</si>
  <si>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</si>
  <si>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</si>
  <si>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</si>
  <si>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</si>
  <si>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</si>
  <si>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</si>
  <si>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</si>
  <si>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</si>
  <si>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</si>
  <si>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</si>
  <si>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</si>
  <si>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</si>
  <si>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</si>
  <si>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</si>
  <si>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</si>
  <si>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</si>
  <si>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</si>
  <si>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</si>
  <si>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</si>
  <si>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</si>
  <si>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</si>
  <si>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</si>
  <si>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</si>
  <si>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</si>
  <si>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</si>
  <si>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</si>
  <si>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</si>
  <si>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</si>
  <si>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</si>
  <si>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</si>
  <si>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</si>
  <si>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</si>
  <si>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</si>
  <si>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</si>
  <si>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</si>
  <si>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</si>
  <si>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</si>
  <si>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</si>
  <si>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</si>
  <si>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</si>
  <si>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</si>
  <si>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</si>
  <si>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</si>
  <si>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</si>
  <si>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</si>
  <si>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</si>
  <si>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</si>
  <si>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</si>
  <si>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</si>
  <si>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</si>
  <si>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</si>
  <si>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</si>
  <si>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</si>
  <si>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</si>
  <si>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</si>
  <si>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</si>
  <si>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</si>
  <si>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</si>
  <si>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</si>
  <si>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</si>
  <si>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</si>
  <si>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</si>
  <si>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</si>
  <si>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</si>
  <si>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</si>
  <si>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</si>
  <si>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</si>
  <si>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</si>
  <si>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</si>
  <si>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</si>
  <si>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</si>
  <si>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</si>
  <si>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</si>
  <si>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</si>
  <si>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</si>
  <si>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</si>
  <si>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</si>
  <si>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</si>
  <si>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</si>
  <si>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</si>
  <si>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</si>
  <si>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</si>
  <si>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</si>
  <si>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</si>
  <si>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</si>
  <si>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</si>
  <si>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</si>
  <si>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</si>
  <si>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</si>
  <si>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</si>
  <si>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</si>
  <si>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</si>
  <si>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</si>
  <si>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</si>
  <si>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</si>
  <si>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</si>
  <si>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</si>
  <si>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</si>
  <si>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</si>
  <si>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</si>
  <si>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</si>
  <si>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</si>
  <si>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</si>
  <si>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</si>
  <si>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</si>
  <si>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</si>
  <si>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</si>
  <si>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</si>
  <si>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</si>
  <si>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</si>
  <si>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</si>
  <si>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</si>
  <si>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</si>
  <si>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</si>
  <si>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</si>
  <si>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</si>
  <si>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</si>
  <si>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</si>
  <si>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</si>
  <si>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</si>
  <si>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</si>
  <si>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</si>
  <si>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</si>
  <si>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</si>
  <si>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</si>
  <si>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</si>
  <si>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</si>
  <si>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</si>
  <si>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</si>
  <si>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</si>
  <si>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</si>
  <si>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</si>
  <si>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</si>
  <si>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</si>
  <si>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</si>
  <si>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</si>
  <si>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</si>
  <si>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</si>
  <si>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</si>
  <si>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</si>
  <si>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</si>
  <si>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</si>
  <si>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</si>
  <si>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</si>
  <si>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</si>
  <si>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</si>
  <si>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</si>
  <si>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</si>
  <si>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</si>
  <si>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</si>
  <si>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</si>
  <si>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</si>
  <si>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</si>
  <si>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</si>
  <si>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</si>
  <si>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</si>
  <si>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</si>
  <si>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</si>
  <si>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</si>
  <si>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</si>
  <si>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</si>
  <si>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</si>
  <si>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</si>
  <si>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</si>
  <si>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</si>
  <si>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</si>
  <si>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</si>
  <si>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</si>
  <si>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</si>
  <si>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</si>
  <si>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</si>
  <si>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</si>
  <si>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</si>
  <si>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</si>
  <si>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</si>
  <si>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</si>
  <si>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</si>
  <si>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</si>
  <si>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</si>
  <si>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</si>
  <si>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</si>
  <si>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</si>
  <si>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</si>
  <si>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</si>
  <si>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</si>
  <si>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</si>
  <si>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</si>
  <si>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</si>
  <si>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</si>
  <si>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</si>
  <si>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</si>
  <si>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</si>
  <si>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</si>
  <si>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</si>
  <si>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</si>
  <si>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</si>
  <si>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</si>
  <si>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</si>
  <si>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</si>
  <si>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</si>
  <si>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</si>
  <si>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</si>
  <si>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</si>
  <si>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</si>
  <si>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</si>
  <si>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</si>
  <si>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</si>
  <si>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</si>
  <si>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</si>
  <si>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</si>
  <si>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</si>
  <si>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</si>
  <si>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</si>
  <si>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</si>
  <si>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</si>
  <si>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</si>
  <si>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</si>
  <si>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</si>
  <si>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</si>
  <si>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</si>
  <si>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</si>
  <si>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</si>
  <si>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</si>
  <si>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</si>
  <si>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</si>
  <si>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</si>
  <si>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</si>
  <si>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</si>
  <si>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</si>
  <si>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</si>
  <si>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</si>
  <si>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</si>
  <si>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</si>
  <si>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</si>
  <si>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</si>
  <si>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</si>
  <si>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</si>
  <si>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</si>
  <si>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</si>
  <si>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</si>
  <si>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</si>
  <si>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</si>
  <si>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</si>
  <si>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</si>
  <si>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</si>
  <si>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</si>
  <si>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</si>
  <si>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</si>
  <si>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</si>
  <si>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</si>
  <si>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</si>
  <si>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</si>
  <si>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</si>
  <si>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</si>
  <si>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</si>
  <si>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</si>
  <si>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</si>
  <si>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</si>
  <si>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</si>
  <si>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</si>
  <si>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</si>
  <si>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</si>
  <si>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</si>
  <si>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</si>
  <si>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</si>
  <si>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</si>
  <si>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</si>
  <si>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</si>
  <si>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</si>
  <si>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</si>
  <si>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</si>
  <si>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</si>
  <si>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</si>
  <si>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</si>
  <si>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</si>
  <si>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</si>
  <si>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</si>
  <si>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</si>
  <si>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</si>
  <si>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</si>
  <si>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</si>
  <si>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</si>
  <si>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</si>
  <si>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</si>
  <si>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</si>
  <si>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</si>
  <si>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</si>
  <si>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</si>
  <si>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</si>
  <si>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</si>
  <si>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</si>
  <si>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</si>
  <si>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</si>
  <si>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</si>
  <si>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</si>
  <si>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</si>
  <si>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</si>
  <si>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</si>
  <si>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</si>
  <si>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</si>
  <si>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</si>
  <si>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</si>
  <si>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</si>
  <si>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</si>
  <si>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</si>
  <si>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</si>
  <si>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</si>
  <si>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</si>
  <si>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</si>
  <si>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</si>
  <si>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</si>
  <si>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</si>
  <si>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</si>
  <si>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</si>
  <si>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</si>
  <si>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</si>
  <si>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</si>
  <si>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</si>
  <si>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</si>
  <si>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</si>
  <si>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</si>
  <si>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</si>
  <si>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</si>
  <si>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</si>
  <si>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</si>
  <si>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</si>
  <si>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</si>
  <si>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</si>
  <si>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</si>
  <si>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</si>
  <si>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</si>
  <si>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</si>
  <si>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</si>
  <si>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</si>
  <si>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</si>
  <si>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</si>
  <si>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</si>
  <si>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</si>
  <si>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</si>
  <si>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</si>
  <si>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</si>
  <si>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</si>
  <si>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</si>
  <si>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</si>
  <si>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</si>
  <si>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</si>
  <si>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</si>
  <si>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</si>
  <si>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</si>
  <si>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</si>
  <si>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</si>
  <si>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</si>
  <si>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</si>
  <si>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</si>
  <si>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</si>
  <si>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</si>
  <si>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</si>
  <si>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</si>
  <si>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</si>
  <si>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</si>
  <si>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</si>
  <si>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</si>
  <si>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</si>
  <si>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</si>
  <si>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</si>
  <si>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</si>
  <si>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</si>
  <si>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</si>
  <si>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</si>
  <si>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</si>
  <si>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</si>
  <si>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</si>
  <si>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</si>
  <si>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</si>
  <si>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</si>
  <si>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</si>
  <si>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</si>
  <si>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</si>
  <si>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</si>
  <si>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</si>
  <si>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</si>
  <si>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</si>
  <si>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</si>
  <si>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</si>
  <si>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</si>
  <si>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</si>
  <si>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</si>
  <si>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</si>
  <si>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</si>
  <si>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</si>
  <si>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</si>
  <si>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</si>
  <si>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</si>
  <si>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</si>
  <si>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</si>
  <si>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</si>
  <si>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</si>
  <si>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</si>
  <si>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</si>
  <si>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</si>
  <si>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</si>
  <si>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</si>
  <si>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</si>
  <si>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</si>
  <si>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</si>
  <si>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</si>
  <si>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</si>
  <si>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</si>
  <si>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</si>
  <si>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</si>
  <si>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</si>
  <si>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</si>
  <si>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</si>
  <si>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</si>
  <si>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</si>
  <si>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</si>
  <si>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</si>
  <si>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</si>
  <si>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</si>
  <si>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</si>
  <si>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</si>
  <si>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</si>
  <si>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</si>
  <si>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</si>
  <si>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</si>
  <si>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</si>
  <si>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</si>
  <si>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</si>
  <si>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</si>
  <si>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</si>
  <si>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</si>
  <si>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</si>
  <si>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</si>
  <si>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</si>
  <si>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</si>
  <si>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</si>
  <si>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</si>
  <si>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</si>
  <si>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</si>
  <si>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</si>
  <si>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</si>
  <si>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</si>
  <si>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</si>
  <si>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</si>
  <si>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</si>
  <si>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</si>
  <si>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</si>
  <si>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</si>
  <si>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</si>
  <si>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</si>
  <si>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</si>
  <si>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</si>
  <si>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</si>
  <si>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</si>
  <si>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</si>
  <si>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</si>
  <si>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</si>
  <si>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</si>
  <si>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</si>
  <si>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</si>
  <si>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</si>
  <si>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</si>
  <si>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</si>
  <si>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</si>
  <si>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</si>
  <si>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</si>
  <si>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</si>
  <si>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</si>
  <si>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</si>
  <si>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</si>
  <si>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</si>
  <si>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</si>
  <si>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</si>
  <si>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</si>
  <si>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</si>
  <si>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</si>
  <si>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</si>
  <si>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</si>
  <si>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</si>
  <si>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</si>
  <si>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</si>
  <si>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</si>
  <si>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</si>
  <si>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</si>
  <si>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</si>
  <si>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</si>
  <si>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</si>
  <si>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</si>
  <si>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</si>
  <si>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</si>
  <si>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</si>
  <si>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</si>
  <si>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</si>
  <si>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</si>
  <si>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</si>
  <si>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</si>
  <si>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</si>
  <si>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</si>
  <si>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</si>
  <si>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</si>
  <si>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</si>
  <si>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</si>
  <si>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</si>
  <si>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</si>
  <si>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</si>
  <si>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</si>
  <si>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</si>
  <si>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</si>
  <si>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</si>
  <si>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</si>
  <si>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</si>
  <si>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</si>
  <si>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</si>
  <si>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</si>
  <si>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</si>
  <si>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</si>
  <si>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</si>
  <si>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</si>
  <si>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</si>
  <si>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</si>
  <si>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</si>
  <si>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</si>
  <si>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</si>
  <si>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</si>
  <si>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</si>
  <si>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</si>
  <si>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</si>
  <si>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</si>
  <si>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</si>
  <si>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</si>
  <si>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</si>
  <si>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</si>
  <si>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</si>
  <si>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</si>
  <si>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</si>
  <si>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</si>
  <si>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</si>
  <si>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</si>
  <si>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</si>
  <si>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</si>
  <si>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</si>
  <si>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</si>
  <si>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</si>
  <si>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</si>
  <si>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</si>
  <si>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</si>
  <si>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</si>
  <si>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</si>
  <si>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</si>
  <si>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</si>
  <si>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</si>
  <si>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</si>
  <si>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</si>
  <si>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</si>
  <si>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</si>
  <si>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</si>
  <si>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</si>
  <si>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</si>
  <si>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</si>
  <si>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</si>
  <si>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</si>
  <si>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</si>
  <si>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</si>
  <si>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</si>
  <si>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</si>
  <si>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</si>
  <si>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</si>
  <si>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</si>
  <si>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</si>
  <si>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</si>
  <si>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</si>
  <si>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</si>
  <si>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</si>
  <si>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</si>
  <si>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</si>
  <si>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</si>
  <si>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</si>
  <si>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</si>
  <si>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</si>
  <si>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</si>
  <si>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</si>
  <si>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</si>
  <si>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</si>
  <si>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</si>
  <si>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</si>
  <si>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</si>
  <si>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</si>
  <si>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</si>
  <si>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</si>
  <si>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</si>
  <si>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</si>
  <si>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</si>
  <si>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</si>
  <si>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</si>
  <si>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</si>
  <si>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</si>
  <si>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</si>
  <si>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</si>
  <si>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</si>
  <si>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</si>
  <si>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</si>
  <si>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</si>
  <si>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</si>
  <si>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</si>
  <si>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</si>
  <si>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</si>
  <si>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</si>
  <si>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</si>
  <si>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</si>
  <si>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</si>
  <si>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</si>
  <si>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</si>
  <si>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</si>
  <si>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</si>
  <si>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</si>
  <si>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</si>
  <si>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</si>
  <si>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</si>
  <si>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</si>
  <si>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</si>
  <si>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</si>
  <si>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</si>
  <si>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</si>
  <si>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</si>
  <si>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</si>
  <si>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</si>
  <si>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</si>
  <si>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</si>
  <si>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</si>
  <si>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</si>
  <si>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</si>
  <si>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</si>
  <si>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</si>
  <si>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</si>
  <si>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</si>
  <si>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</si>
  <si>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</si>
  <si>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</si>
  <si>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</si>
  <si>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</si>
  <si>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</si>
  <si>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</si>
  <si>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</si>
  <si>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</si>
  <si>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</si>
  <si>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</si>
  <si>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</si>
  <si>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</si>
  <si>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</si>
  <si>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</si>
  <si>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</si>
  <si>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</si>
  <si>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</si>
  <si>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</si>
  <si>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</si>
  <si>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</si>
  <si>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</si>
  <si>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</si>
  <si>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</si>
  <si>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</si>
  <si>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</si>
  <si>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</si>
  <si>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</si>
  <si>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</si>
  <si>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</si>
  <si>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</si>
  <si>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</si>
  <si>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</si>
  <si>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</si>
  <si>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</si>
  <si>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</si>
  <si>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</si>
  <si>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</si>
  <si>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</si>
  <si>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</si>
  <si>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</si>
  <si>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</si>
  <si>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</si>
  <si>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</si>
  <si>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</si>
  <si>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</si>
  <si>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</si>
  <si>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</si>
  <si>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</si>
  <si>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</si>
  <si>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</si>
  <si>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</si>
  <si>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</si>
  <si>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</si>
  <si>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</si>
  <si>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</si>
  <si>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</si>
  <si>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</si>
  <si>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</si>
  <si>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</si>
  <si>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</si>
  <si>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</si>
  <si>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</si>
  <si>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</si>
  <si>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</si>
  <si>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</si>
  <si>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</si>
  <si>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</si>
  <si>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</si>
  <si>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</si>
  <si>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</si>
  <si>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</si>
  <si>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</si>
  <si>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</si>
  <si>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</si>
  <si>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</si>
  <si>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</si>
  <si>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</si>
  <si>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</si>
  <si>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</si>
  <si>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</si>
  <si>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</si>
  <si>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</si>
  <si>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</si>
  <si>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</si>
  <si>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</si>
  <si>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</si>
  <si>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</si>
  <si>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</si>
  <si>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</si>
  <si>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</si>
  <si>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</si>
  <si>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</si>
  <si>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</si>
  <si>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</si>
  <si>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</si>
  <si>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</si>
  <si>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</si>
  <si>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</si>
  <si>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</si>
  <si>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</si>
  <si>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</si>
  <si>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</si>
  <si>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</si>
  <si>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</si>
  <si>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</si>
  <si>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</si>
  <si>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</si>
  <si>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</si>
  <si>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</si>
  <si>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</si>
  <si>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</si>
  <si>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</si>
  <si>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</si>
  <si>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</si>
  <si>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</si>
  <si>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</si>
  <si>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</si>
  <si>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</si>
  <si>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</si>
  <si>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</si>
  <si>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</si>
  <si>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</si>
  <si>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</si>
  <si>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</si>
  <si>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</si>
  <si>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</si>
  <si>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</si>
  <si>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</si>
  <si>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</si>
  <si>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</si>
  <si>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</si>
  <si>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</si>
  <si>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</si>
  <si>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</si>
  <si>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</si>
  <si>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</si>
  <si>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</si>
  <si>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</si>
  <si>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</si>
  <si>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</si>
  <si>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</si>
  <si>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</si>
  <si>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</si>
  <si>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</si>
  <si>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</si>
  <si>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</si>
  <si>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</si>
  <si>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</si>
  <si>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</si>
  <si>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</si>
  <si>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</si>
  <si>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</si>
  <si>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</si>
  <si>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</si>
  <si>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</si>
  <si>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</si>
  <si>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</si>
  <si>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</si>
  <si>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</si>
  <si>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</si>
  <si>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</si>
  <si>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</si>
  <si>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</si>
  <si>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</si>
  <si>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</si>
  <si>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</si>
  <si>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</si>
  <si>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</si>
  <si>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</si>
  <si>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</si>
  <si>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</si>
  <si>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</si>
  <si>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</si>
  <si>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</si>
  <si>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</si>
  <si>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</si>
  <si>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</si>
  <si>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</si>
  <si>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</si>
  <si>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</si>
  <si>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</si>
  <si>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</si>
  <si>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</si>
  <si>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</si>
  <si>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</si>
  <si>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</si>
  <si>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</si>
  <si>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</si>
  <si>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</si>
  <si>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</si>
  <si>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</si>
  <si>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</si>
  <si>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</si>
  <si>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</si>
  <si>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</si>
  <si>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</si>
  <si>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</si>
  <si>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</si>
  <si>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</si>
  <si>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</si>
  <si>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</si>
  <si>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</si>
  <si>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</si>
  <si>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</si>
  <si>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</si>
  <si>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</si>
  <si>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</si>
  <si>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</si>
  <si>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</si>
  <si>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</si>
  <si>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</si>
  <si>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</si>
  <si>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</si>
  <si>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</si>
  <si>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</si>
  <si>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</si>
  <si>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</si>
  <si>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</si>
  <si>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</si>
  <si>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</si>
  <si>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</si>
  <si>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</si>
  <si>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</si>
  <si>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</si>
  <si>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</si>
  <si>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</si>
  <si>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</si>
  <si>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</si>
  <si>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</si>
  <si>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</si>
  <si>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</si>
  <si>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</si>
  <si>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</si>
  <si>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</si>
  <si>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</si>
  <si>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</si>
  <si>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</si>
  <si>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</si>
  <si>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</si>
  <si>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</si>
  <si>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</si>
  <si>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</si>
  <si>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</si>
  <si>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</si>
  <si>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</si>
  <si>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</si>
  <si>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</si>
  <si>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</si>
  <si>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</si>
  <si>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</si>
  <si>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</si>
  <si>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</si>
  <si>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</si>
  <si>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</si>
  <si>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</si>
  <si>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</si>
  <si>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</si>
  <si>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</si>
  <si>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</si>
  <si>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</si>
  <si>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</si>
  <si>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</si>
  <si>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</si>
  <si>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</si>
  <si>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</si>
  <si>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</si>
  <si>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</si>
  <si>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</si>
  <si>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</si>
  <si>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</si>
  <si>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</si>
  <si>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</si>
  <si>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</si>
  <si>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</si>
  <si>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</si>
  <si>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</si>
  <si>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</si>
  <si>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</si>
  <si>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</si>
  <si>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</si>
  <si>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</si>
  <si>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</si>
  <si>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</si>
  <si>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</si>
  <si>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</si>
  <si>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</si>
  <si>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</si>
  <si>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</si>
  <si>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</si>
  <si>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</si>
  <si>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</si>
  <si>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</si>
  <si>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</si>
  <si>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</si>
  <si>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</si>
  <si>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</si>
  <si>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</si>
  <si>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</si>
  <si>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</si>
  <si>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</si>
  <si>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</si>
  <si>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</si>
  <si>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</si>
  <si>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</si>
  <si>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</si>
  <si>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</si>
  <si>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</si>
  <si>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</si>
  <si>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</si>
  <si>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</si>
  <si>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</si>
  <si>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</si>
  <si>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</si>
  <si>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</si>
  <si>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</si>
  <si>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</si>
  <si>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</si>
  <si>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</si>
  <si>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</si>
  <si>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</si>
  <si>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</si>
  <si>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</si>
  <si>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</si>
  <si>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</si>
  <si>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</si>
  <si>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</si>
  <si>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</si>
  <si>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</si>
  <si>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</si>
  <si>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</si>
  <si>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</si>
  <si>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</si>
  <si>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</si>
  <si>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</si>
  <si>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</si>
  <si>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</si>
  <si>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</si>
  <si>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</si>
  <si>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</si>
  <si>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</si>
  <si>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</si>
  <si>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</si>
  <si>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</si>
  <si>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</si>
  <si>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</si>
  <si>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</si>
  <si>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</si>
  <si>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</si>
  <si>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</si>
  <si>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</si>
  <si>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</si>
  <si>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</si>
  <si>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</si>
  <si>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</si>
  <si>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</si>
  <si>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</si>
  <si>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</si>
  <si>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</si>
  <si>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</si>
  <si>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</si>
  <si>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</si>
  <si>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</si>
  <si>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</si>
  <si>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</si>
  <si>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</si>
  <si>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</si>
  <si>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</si>
  <si>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</si>
  <si>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</si>
  <si>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</si>
  <si>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</si>
  <si>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</si>
  <si>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</si>
  <si>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</si>
  <si>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</si>
  <si>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</si>
  <si>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</si>
  <si>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</si>
  <si>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</si>
  <si>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</si>
  <si>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</si>
  <si>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</si>
  <si>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</si>
  <si>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</si>
  <si>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</si>
  <si>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</si>
  <si>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</si>
  <si>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</si>
  <si>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</si>
  <si>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</si>
  <si>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</si>
  <si>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</si>
  <si>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</si>
  <si>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</si>
  <si>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</si>
  <si>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</si>
  <si>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</si>
  <si>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</si>
  <si>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</si>
  <si>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</si>
  <si>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</si>
  <si>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</si>
  <si>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</si>
  <si>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</si>
  <si>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</si>
  <si>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</si>
  <si>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</si>
  <si>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</si>
  <si>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</si>
  <si>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</si>
  <si>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</si>
  <si>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</si>
  <si>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</si>
  <si>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</si>
  <si>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</si>
  <si>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</si>
  <si>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</si>
  <si>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</si>
  <si>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</si>
  <si>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</si>
  <si>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</si>
  <si>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</si>
  <si>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</si>
  <si>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</si>
  <si>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</si>
  <si>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</si>
  <si>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</si>
  <si>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</si>
  <si>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</si>
  <si>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</si>
  <si>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</si>
  <si>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</si>
  <si>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</si>
  <si>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</si>
  <si>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</si>
  <si>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</si>
  <si>
    <t>pendiente a buscar en otras tablas de consumo, aliento que mas se usa, importante completar</t>
  </si>
  <si>
    <t>Fila 242 "Leche fresca o cruda de vaca" (890 regs) → apunta a `70201082` = **leche de oveja**. Es un animal distinto (7% grasa vs ~3.25% de vaca). No hay "leche cruda de vaca" en INCAP; lo más cercano es la leche entera fluida (`70201015`, la misma que ya usas para UHT)</t>
  </si>
  <si>
    <t>Fila 232 "Bacalao" (1613 regs) → apunta a bacalao **fresco** (`70208021`, 54mg sodio/100g). El bacalao de consumo dominicano típico es **seco salado** (`70208022`, **7027mg sodio/100g**, 130x más).</t>
  </si>
  <si>
    <t>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</si>
  <si>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"INCAP contiene maíz dulce cocido/congelado. Se utiliza temporalmente como proxy hasta resolver inconsistencia observada con código 70211110 (aparente colisión con Sal de mesa). Revisar posteriormente contra USDA/FNDDS."</t>
  </si>
  <si>
    <t>"Malta consumida en RD corresponde a bebida de malta no alcohólica. Se utiliza temporalmente una bebida azucarada como proxy hasta incorporar una fuente externa (USDA/FNDDS) con perfil específico de malta."</t>
  </si>
  <si>
    <t>Variedad local confirmada por informante dominicano.</t>
  </si>
  <si>
    <t>No existe variante con coco en INCAP.
2
Se utiliza habichuela negra cocida como proxy.</t>
  </si>
  <si>
    <t>Proxy de habichuela roja cocida.
2
Variante con coco no disponible en INCAP.</t>
  </si>
  <si>
    <t>Consumido como guandul verde; la cáscara no se consume habitualmente.</t>
  </si>
  <si>
    <t>Preparación con coco no disponible en INCAP.
2
Se utiliza guandul cocido como proxy principal.</t>
  </si>
  <si>
    <t>Proxy basado en maíz para popcorn.</t>
  </si>
  <si>
    <t>Cereal de desayuno; proxy dentro de cereales fortificados.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</si>
</sst>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
      <sz val="7"/>
      <color rgb="FF2E2B29"/>
      <name val="Arial"/>
      <family val="2"/>
    </font>
    <font>
      <sz val="10"/>
      <name val="Arial"/>
      <family val="2"/>
    </font>
    <font>
      <b/>
      <sz val="10"/>
      <color rgb="FFFFFFFF"/>
      <name val="Arial"/>
      <family val="2"/>
    </font>
    <font>
      <sz val="7"/>
      <color theme="1"/>
      <name val="Segoe UI"/>
      <family val="2"/>
    </font>
  </fonts>
  <fills count="11">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
      <patternFill patternType="solid">
        <fgColor rgb="FFFFFF00"/>
        <bgColor indexed="64"/>
      </patternFill>
    </fill>
    <fill>
      <patternFill patternType="solid">
        <fgColor rgb="FF92D05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xf numFmtId="0" fontId="9" fillId="0" borderId="1" xfId="0" applyFont="1" applyBorder="1"/>
    <xf numFmtId="0" fontId="10" fillId="6" borderId="0" xfId="0" applyFont="1" applyFill="1" applyAlignment="1">
      <alignment horizontal="center" vertical="center" wrapText="1"/>
    </xf>
    <xf numFmtId="0" fontId="2" fillId="9" borderId="1" xfId="0" applyFont="1" applyFill="1" applyBorder="1"/>
    <xf numFmtId="0" fontId="0" fillId="9" borderId="0" xfId="0" applyFill="1"/>
    <xf numFmtId="0" fontId="8" fillId="0" borderId="0" xfId="0" applyFont="1"/>
    <xf numFmtId="0" fontId="9" fillId="4" borderId="1" xfId="0" applyFont="1" applyFill="1" applyBorder="1"/>
    <xf numFmtId="0" fontId="11" fillId="0" borderId="0" xfId="0" applyFont="1" applyAlignment="1">
      <alignment vertical="center"/>
    </xf>
    <xf numFmtId="0" fontId="9" fillId="4" borderId="1" xfId="0" applyFont="1" applyFill="1" applyBorder="1" applyAlignment="1">
      <alignment wrapText="1"/>
    </xf>
    <xf numFmtId="0" fontId="10" fillId="2" borderId="0" xfId="0" applyFont="1" applyFill="1" applyAlignment="1">
      <alignment horizontal="center" vertical="center" wrapText="1"/>
    </xf>
    <xf numFmtId="0" fontId="9" fillId="8" borderId="1" xfId="0" applyFont="1" applyFill="1" applyBorder="1"/>
    <xf numFmtId="0" fontId="9" fillId="9" borderId="1" xfId="0" applyFont="1" applyFill="1" applyBorder="1"/>
    <xf numFmtId="0" fontId="2" fillId="10" borderId="1" xfId="0" applyFont="1" applyFill="1" applyBorder="1"/>
    <xf numFmtId="0" fontId="0" fillId="10" borderId="0" xfId="0" applyFill="1"/>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38" activePane="bottomLeft" state="frozen"/>
      <selection pane="bottomLeft" activeCell="A23" sqref="A2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73"/>
  <sheetViews>
    <sheetView tabSelected="1" topLeftCell="B1" workbookViewId="0">
      <pane ySplit="1" topLeftCell="A44" activePane="bottomLeft" state="frozen"/>
      <selection pane="bottomLeft" activeCell="B1" sqref="A1:XFD1"/>
    </sheetView>
  </sheetViews>
  <sheetFormatPr defaultRowHeight="14.5" outlineLevelCol="1" x14ac:dyDescent="0.35"/>
  <cols>
    <col min="1" max="1" width="14.1796875" hidden="1" customWidth="1"/>
    <col min="2" max="2" width="32.54296875" customWidth="1"/>
    <col min="3" max="3" width="14.08984375" customWidth="1"/>
    <col min="4" max="4" width="21.81640625" customWidth="1"/>
    <col min="5" max="5" width="14.6328125" hidden="1" customWidth="1"/>
    <col min="6" max="6" width="24.54296875" hidden="1" customWidth="1"/>
    <col min="7" max="7" width="23.453125" hidden="1" customWidth="1"/>
    <col min="8" max="8" width="18" hidden="1" customWidth="1"/>
    <col min="9" max="9" width="9.453125" customWidth="1"/>
    <col min="10" max="10" width="17.81640625" customWidth="1"/>
    <col min="11" max="11" width="16.7265625" customWidth="1"/>
    <col min="12" max="12" width="20.36328125" bestFit="1" customWidth="1"/>
    <col min="13" max="13" width="12.54296875" bestFit="1" customWidth="1"/>
    <col min="14" max="14" width="20" customWidth="1"/>
    <col min="15" max="15" width="12" customWidth="1" outlineLevel="1"/>
    <col min="16" max="16" width="22" customWidth="1" outlineLevel="1"/>
    <col min="17" max="17" width="9" customWidth="1" outlineLevel="1"/>
    <col min="18" max="18" width="11" customWidth="1" outlineLevel="1"/>
  </cols>
  <sheetData>
    <row r="1" spans="1:18" ht="39" x14ac:dyDescent="0.35">
      <c r="A1" s="11" t="s">
        <v>23</v>
      </c>
      <c r="B1" s="11" t="s">
        <v>26</v>
      </c>
      <c r="C1" s="26" t="s">
        <v>28</v>
      </c>
      <c r="D1" s="26" t="s">
        <v>30</v>
      </c>
      <c r="E1" s="11" t="s">
        <v>32</v>
      </c>
      <c r="F1" s="11" t="s">
        <v>34</v>
      </c>
      <c r="G1" s="11" t="s">
        <v>36</v>
      </c>
      <c r="H1" s="11" t="s">
        <v>38</v>
      </c>
      <c r="I1" s="17" t="s">
        <v>40</v>
      </c>
      <c r="J1" s="11" t="s">
        <v>42</v>
      </c>
      <c r="K1" s="19" t="s">
        <v>44</v>
      </c>
      <c r="L1" s="19" t="s">
        <v>47</v>
      </c>
      <c r="M1" s="19" t="s">
        <v>49</v>
      </c>
      <c r="N1" s="12" t="s">
        <v>51</v>
      </c>
      <c r="O1" s="13" t="s">
        <v>53</v>
      </c>
      <c r="P1" s="13" t="s">
        <v>56</v>
      </c>
      <c r="Q1" s="13" t="s">
        <v>58</v>
      </c>
      <c r="R1" s="13" t="s">
        <v>60</v>
      </c>
    </row>
    <row r="2" spans="1:18" x14ac:dyDescent="0.35">
      <c r="A2" s="14">
        <v>569</v>
      </c>
      <c r="B2" s="14" t="s">
        <v>62</v>
      </c>
      <c r="C2" s="14">
        <v>18087</v>
      </c>
      <c r="D2" s="14" t="s">
        <v>63</v>
      </c>
      <c r="E2" s="14">
        <v>70207012</v>
      </c>
      <c r="F2" s="14" t="s">
        <v>64</v>
      </c>
      <c r="G2" s="14" t="s">
        <v>65</v>
      </c>
      <c r="H2" s="14" t="s">
        <v>66</v>
      </c>
      <c r="I2" s="14"/>
      <c r="J2" s="14" t="s">
        <v>67</v>
      </c>
      <c r="K2" s="15"/>
      <c r="L2" s="15" t="s">
        <v>66</v>
      </c>
      <c r="M2" s="15" t="b">
        <v>1</v>
      </c>
      <c r="N2" s="15" t="s">
        <v>2220</v>
      </c>
      <c r="O2" s="16" t="s">
        <v>68</v>
      </c>
      <c r="P2" s="16" t="s">
        <v>69</v>
      </c>
      <c r="Q2" s="16">
        <v>72.7</v>
      </c>
      <c r="R2" s="16" t="b">
        <v>0</v>
      </c>
    </row>
    <row r="3" spans="1:18" x14ac:dyDescent="0.35">
      <c r="A3" s="14">
        <v>408</v>
      </c>
      <c r="B3" s="14" t="s">
        <v>70</v>
      </c>
      <c r="C3" s="14">
        <v>15414</v>
      </c>
      <c r="D3" s="14" t="s">
        <v>63</v>
      </c>
      <c r="E3" s="14">
        <v>70211223</v>
      </c>
      <c r="F3" s="14" t="s">
        <v>71</v>
      </c>
      <c r="G3" s="14" t="s">
        <v>72</v>
      </c>
      <c r="H3" s="14" t="s">
        <v>73</v>
      </c>
      <c r="I3" s="14">
        <v>70211223</v>
      </c>
      <c r="J3" s="14" t="s">
        <v>74</v>
      </c>
      <c r="K3" s="15">
        <v>70211223</v>
      </c>
      <c r="L3" s="15" t="s">
        <v>73</v>
      </c>
      <c r="M3" s="15" t="b">
        <v>1</v>
      </c>
      <c r="N3" s="15"/>
      <c r="O3" s="16" t="s">
        <v>75</v>
      </c>
      <c r="P3" s="16" t="s">
        <v>76</v>
      </c>
      <c r="Q3" s="16">
        <v>76.900000000000006</v>
      </c>
      <c r="R3" s="16" t="b">
        <v>1</v>
      </c>
    </row>
    <row r="4" spans="1:18" x14ac:dyDescent="0.35">
      <c r="A4" s="14">
        <v>110</v>
      </c>
      <c r="B4" s="14" t="s">
        <v>77</v>
      </c>
      <c r="C4" s="14">
        <v>12439</v>
      </c>
      <c r="D4" s="14" t="s">
        <v>63</v>
      </c>
      <c r="E4" s="14">
        <v>70222043</v>
      </c>
      <c r="F4" s="14" t="s">
        <v>78</v>
      </c>
      <c r="G4" s="14" t="s">
        <v>79</v>
      </c>
      <c r="H4" s="14" t="s">
        <v>80</v>
      </c>
      <c r="I4" s="14">
        <v>70203019</v>
      </c>
      <c r="J4" s="14" t="s">
        <v>81</v>
      </c>
      <c r="K4" s="14">
        <v>70203019</v>
      </c>
      <c r="L4" s="15" t="s">
        <v>80</v>
      </c>
      <c r="M4" s="15" t="b">
        <v>1</v>
      </c>
      <c r="N4" s="15"/>
      <c r="O4" s="16" t="s">
        <v>82</v>
      </c>
      <c r="P4" s="16" t="s">
        <v>83</v>
      </c>
      <c r="Q4" s="16">
        <v>84.6</v>
      </c>
      <c r="R4" s="16" t="b">
        <v>1</v>
      </c>
    </row>
    <row r="5" spans="1:18" x14ac:dyDescent="0.35">
      <c r="A5" s="14">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x14ac:dyDescent="0.35">
      <c r="A6" s="14">
        <v>288</v>
      </c>
      <c r="B6" s="14" t="s">
        <v>91</v>
      </c>
      <c r="C6" s="14">
        <v>11340</v>
      </c>
      <c r="D6" s="14" t="s">
        <v>63</v>
      </c>
      <c r="E6" s="14">
        <v>70202004</v>
      </c>
      <c r="F6" s="14" t="s">
        <v>92</v>
      </c>
      <c r="G6" s="14" t="s">
        <v>93</v>
      </c>
      <c r="H6" s="14" t="s">
        <v>73</v>
      </c>
      <c r="I6" s="14">
        <v>70202002</v>
      </c>
      <c r="J6" s="14" t="s">
        <v>94</v>
      </c>
      <c r="K6" s="15">
        <f>I6</f>
        <v>70202002</v>
      </c>
      <c r="L6" s="15" t="s">
        <v>73</v>
      </c>
      <c r="M6" s="15" t="b">
        <v>1</v>
      </c>
      <c r="N6" s="15"/>
      <c r="O6" s="16" t="s">
        <v>95</v>
      </c>
      <c r="P6" s="16" t="s">
        <v>96</v>
      </c>
      <c r="Q6" s="16">
        <v>75.5</v>
      </c>
      <c r="R6" s="16" t="b">
        <v>0</v>
      </c>
    </row>
    <row r="7" spans="1:18" x14ac:dyDescent="0.35">
      <c r="A7" s="14">
        <v>410</v>
      </c>
      <c r="B7" s="14" t="s">
        <v>97</v>
      </c>
      <c r="C7" s="14">
        <v>11117</v>
      </c>
      <c r="D7" s="14" t="s">
        <v>85</v>
      </c>
      <c r="E7" s="14">
        <v>70211006</v>
      </c>
      <c r="F7" s="14" t="s">
        <v>98</v>
      </c>
      <c r="G7" s="14" t="s">
        <v>72</v>
      </c>
      <c r="H7" s="14" t="s">
        <v>73</v>
      </c>
      <c r="I7" s="14">
        <v>70211006</v>
      </c>
      <c r="J7" s="14" t="s">
        <v>99</v>
      </c>
      <c r="K7" s="15">
        <f>I7</f>
        <v>70211006</v>
      </c>
      <c r="L7" s="15" t="s">
        <v>73</v>
      </c>
      <c r="M7" s="15" t="b">
        <v>1</v>
      </c>
      <c r="N7" s="15" t="s">
        <v>2217</v>
      </c>
      <c r="O7" s="16" t="s">
        <v>100</v>
      </c>
      <c r="P7" s="16" t="s">
        <v>101</v>
      </c>
      <c r="Q7" s="16">
        <v>100</v>
      </c>
      <c r="R7" s="16" t="b">
        <v>1</v>
      </c>
    </row>
    <row r="8" spans="1:18" x14ac:dyDescent="0.35">
      <c r="A8" s="14">
        <v>293</v>
      </c>
      <c r="B8" s="14" t="s">
        <v>102</v>
      </c>
      <c r="C8" s="14">
        <v>10815</v>
      </c>
      <c r="D8" s="14" t="s">
        <v>85</v>
      </c>
      <c r="E8" s="14">
        <v>70216009</v>
      </c>
      <c r="F8" s="14" t="s">
        <v>102</v>
      </c>
      <c r="G8" s="14" t="s">
        <v>103</v>
      </c>
      <c r="H8" s="14" t="s">
        <v>73</v>
      </c>
      <c r="I8" s="14">
        <v>70216009</v>
      </c>
      <c r="J8" s="14" t="s">
        <v>99</v>
      </c>
      <c r="K8" s="15">
        <f>I8</f>
        <v>70216009</v>
      </c>
      <c r="L8" s="15" t="s">
        <v>73</v>
      </c>
      <c r="M8" s="15" t="b">
        <v>1</v>
      </c>
      <c r="N8" s="15"/>
      <c r="O8" s="16" t="s">
        <v>104</v>
      </c>
      <c r="P8" s="16" t="s">
        <v>105</v>
      </c>
      <c r="Q8" s="16">
        <v>100</v>
      </c>
      <c r="R8" s="16" t="b">
        <v>0</v>
      </c>
    </row>
    <row r="9" spans="1:18" x14ac:dyDescent="0.35">
      <c r="A9" s="14">
        <v>2</v>
      </c>
      <c r="B9" s="14" t="s">
        <v>106</v>
      </c>
      <c r="C9" s="14">
        <v>10060</v>
      </c>
      <c r="D9" s="14" t="s">
        <v>107</v>
      </c>
      <c r="E9" s="14">
        <v>70214123</v>
      </c>
      <c r="F9" s="14" t="s">
        <v>108</v>
      </c>
      <c r="G9" s="14" t="s">
        <v>87</v>
      </c>
      <c r="H9" s="14" t="s">
        <v>80</v>
      </c>
      <c r="I9" s="14">
        <v>70214021</v>
      </c>
      <c r="J9" s="14" t="s">
        <v>109</v>
      </c>
      <c r="K9" s="14">
        <v>70214021</v>
      </c>
      <c r="L9" s="15" t="s">
        <v>80</v>
      </c>
      <c r="M9" s="15" t="b">
        <v>1</v>
      </c>
      <c r="N9" s="15"/>
      <c r="O9" s="16" t="s">
        <v>110</v>
      </c>
      <c r="P9" s="16" t="s">
        <v>111</v>
      </c>
      <c r="Q9" s="16">
        <v>60.9</v>
      </c>
      <c r="R9" s="16" t="b">
        <v>1</v>
      </c>
    </row>
    <row r="10" spans="1:18" x14ac:dyDescent="0.35">
      <c r="A10" s="14">
        <v>588</v>
      </c>
      <c r="B10" s="14" t="s">
        <v>112</v>
      </c>
      <c r="C10" s="14">
        <v>9447</v>
      </c>
      <c r="D10" s="14" t="s">
        <v>107</v>
      </c>
      <c r="E10" s="14">
        <v>70208016</v>
      </c>
      <c r="F10" s="14" t="s">
        <v>113</v>
      </c>
      <c r="G10" s="14" t="s">
        <v>114</v>
      </c>
      <c r="H10" s="14" t="s">
        <v>80</v>
      </c>
      <c r="I10" s="14">
        <v>70217063</v>
      </c>
      <c r="J10" s="14" t="s">
        <v>115</v>
      </c>
      <c r="K10" s="15">
        <v>70217063</v>
      </c>
      <c r="L10" s="15" t="s">
        <v>80</v>
      </c>
      <c r="M10" s="15" t="b">
        <v>1</v>
      </c>
      <c r="N10" s="15"/>
      <c r="O10" s="16" t="s">
        <v>116</v>
      </c>
      <c r="P10" s="16" t="s">
        <v>117</v>
      </c>
      <c r="Q10" s="16">
        <v>64.3</v>
      </c>
      <c r="R10" s="16" t="b">
        <v>1</v>
      </c>
    </row>
    <row r="11" spans="1:18" x14ac:dyDescent="0.35">
      <c r="A11" s="14">
        <v>392</v>
      </c>
      <c r="B11" s="14" t="s">
        <v>118</v>
      </c>
      <c r="C11" s="14">
        <v>9254</v>
      </c>
      <c r="D11" s="14" t="s">
        <v>107</v>
      </c>
      <c r="E11" s="14">
        <v>70216032</v>
      </c>
      <c r="F11" s="14" t="s">
        <v>119</v>
      </c>
      <c r="G11" s="14" t="s">
        <v>103</v>
      </c>
      <c r="H11" s="14" t="s">
        <v>80</v>
      </c>
      <c r="I11" s="14">
        <v>70211060</v>
      </c>
      <c r="J11" s="14" t="s">
        <v>120</v>
      </c>
      <c r="K11" s="15">
        <v>70211060</v>
      </c>
      <c r="L11" s="15" t="s">
        <v>80</v>
      </c>
      <c r="M11" s="15" t="b">
        <v>1</v>
      </c>
      <c r="N11" s="15"/>
      <c r="O11" s="16" t="s">
        <v>121</v>
      </c>
      <c r="P11" s="16" t="s">
        <v>122</v>
      </c>
      <c r="Q11" s="16">
        <v>62.9</v>
      </c>
      <c r="R11" s="16" t="b">
        <v>0</v>
      </c>
    </row>
    <row r="12" spans="1:18" x14ac:dyDescent="0.35">
      <c r="A12" s="14">
        <v>515</v>
      </c>
      <c r="B12" s="14" t="s">
        <v>123</v>
      </c>
      <c r="C12" s="14">
        <v>9187</v>
      </c>
      <c r="D12" s="14" t="s">
        <v>107</v>
      </c>
      <c r="E12" s="14">
        <v>70212065</v>
      </c>
      <c r="F12" s="14" t="s">
        <v>124</v>
      </c>
      <c r="G12" s="14" t="s">
        <v>125</v>
      </c>
      <c r="H12" s="14" t="s">
        <v>80</v>
      </c>
      <c r="I12" s="14">
        <v>70222047</v>
      </c>
      <c r="J12" s="14" t="s">
        <v>126</v>
      </c>
      <c r="K12" s="14">
        <v>70222047</v>
      </c>
      <c r="L12" s="15" t="s">
        <v>80</v>
      </c>
      <c r="M12" s="15" t="b">
        <v>1</v>
      </c>
      <c r="N12" s="15"/>
      <c r="O12" s="16" t="s">
        <v>127</v>
      </c>
      <c r="P12" s="16" t="s">
        <v>128</v>
      </c>
      <c r="Q12" s="16">
        <v>57.1</v>
      </c>
      <c r="R12" s="16" t="b">
        <v>0</v>
      </c>
    </row>
    <row r="13" spans="1:18" x14ac:dyDescent="0.35">
      <c r="A13" s="14">
        <v>66</v>
      </c>
      <c r="B13" s="14" t="s">
        <v>129</v>
      </c>
      <c r="C13" s="14">
        <v>8607</v>
      </c>
      <c r="D13" s="14" t="s">
        <v>63</v>
      </c>
      <c r="E13" s="14">
        <v>70222040</v>
      </c>
      <c r="F13" s="14" t="s">
        <v>130</v>
      </c>
      <c r="G13" s="14" t="s">
        <v>79</v>
      </c>
      <c r="H13" s="14" t="s">
        <v>73</v>
      </c>
      <c r="I13" s="14">
        <v>70213002</v>
      </c>
      <c r="J13" s="14" t="s">
        <v>131</v>
      </c>
      <c r="K13" s="15">
        <v>70213002</v>
      </c>
      <c r="L13" s="15" t="s">
        <v>80</v>
      </c>
      <c r="M13" s="15" t="b">
        <v>1</v>
      </c>
      <c r="N13" s="15"/>
      <c r="O13" s="16" t="s">
        <v>132</v>
      </c>
      <c r="P13" s="16" t="s">
        <v>133</v>
      </c>
      <c r="Q13" s="16">
        <v>66.7</v>
      </c>
      <c r="R13" s="16" t="b">
        <v>1</v>
      </c>
    </row>
    <row r="14" spans="1:18" x14ac:dyDescent="0.35">
      <c r="A14" s="14">
        <v>581</v>
      </c>
      <c r="B14" s="14" t="s">
        <v>134</v>
      </c>
      <c r="C14" s="14">
        <v>8272</v>
      </c>
      <c r="D14" s="14" t="s">
        <v>85</v>
      </c>
      <c r="E14" s="14">
        <v>70217039</v>
      </c>
      <c r="F14" s="14" t="s">
        <v>135</v>
      </c>
      <c r="G14" s="14" t="s">
        <v>136</v>
      </c>
      <c r="H14" s="14" t="s">
        <v>73</v>
      </c>
      <c r="I14" s="14">
        <v>70217039</v>
      </c>
      <c r="J14" s="14" t="s">
        <v>137</v>
      </c>
      <c r="K14" s="15">
        <f>I14</f>
        <v>70217039</v>
      </c>
      <c r="L14" s="15" t="s">
        <v>73</v>
      </c>
      <c r="M14" s="15" t="b">
        <v>1</v>
      </c>
      <c r="N14" s="15" t="s">
        <v>2218</v>
      </c>
      <c r="O14" s="16" t="s">
        <v>138</v>
      </c>
      <c r="P14" s="16" t="s">
        <v>139</v>
      </c>
      <c r="Q14" s="16">
        <v>100</v>
      </c>
      <c r="R14" s="16" t="b">
        <v>1</v>
      </c>
    </row>
    <row r="15" spans="1:18" x14ac:dyDescent="0.35">
      <c r="A15" s="14">
        <v>459</v>
      </c>
      <c r="B15" s="14" t="s">
        <v>140</v>
      </c>
      <c r="C15" s="14">
        <v>7945</v>
      </c>
      <c r="D15" s="14" t="s">
        <v>85</v>
      </c>
      <c r="E15" s="14">
        <v>70215003</v>
      </c>
      <c r="F15" s="14" t="s">
        <v>141</v>
      </c>
      <c r="G15" s="14" t="s">
        <v>142</v>
      </c>
      <c r="H15" s="14" t="s">
        <v>73</v>
      </c>
      <c r="I15" s="14">
        <v>70215003</v>
      </c>
      <c r="J15" s="14" t="s">
        <v>143</v>
      </c>
      <c r="K15" s="15">
        <f>I15</f>
        <v>70215003</v>
      </c>
      <c r="L15" s="15" t="s">
        <v>73</v>
      </c>
      <c r="M15" s="15" t="b">
        <v>1</v>
      </c>
      <c r="N15" s="15"/>
      <c r="O15" s="16" t="s">
        <v>144</v>
      </c>
      <c r="P15" s="16" t="s">
        <v>145</v>
      </c>
      <c r="Q15" s="16">
        <v>100</v>
      </c>
      <c r="R15" s="16" t="b">
        <v>1</v>
      </c>
    </row>
    <row r="16" spans="1:18" x14ac:dyDescent="0.35">
      <c r="A16" s="14">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x14ac:dyDescent="0.35">
      <c r="A17" s="14">
        <v>67</v>
      </c>
      <c r="B17" s="14" t="s">
        <v>151</v>
      </c>
      <c r="C17" s="14">
        <v>7712</v>
      </c>
      <c r="D17" s="14" t="s">
        <v>107</v>
      </c>
      <c r="E17" s="14">
        <v>70213025</v>
      </c>
      <c r="F17" s="14" t="s">
        <v>152</v>
      </c>
      <c r="G17" s="14" t="s">
        <v>87</v>
      </c>
      <c r="H17" s="14" t="s">
        <v>73</v>
      </c>
      <c r="I17" s="14">
        <v>70213004</v>
      </c>
      <c r="J17" s="14" t="s">
        <v>153</v>
      </c>
      <c r="K17" s="15">
        <f>I17</f>
        <v>70213004</v>
      </c>
      <c r="L17" s="15" t="s">
        <v>73</v>
      </c>
      <c r="M17" s="15" t="b">
        <v>1</v>
      </c>
      <c r="N17" s="15"/>
      <c r="O17" s="16" t="s">
        <v>132</v>
      </c>
      <c r="P17" s="16" t="s">
        <v>154</v>
      </c>
      <c r="Q17" s="16">
        <v>59.5</v>
      </c>
      <c r="R17" s="16" t="b">
        <v>1</v>
      </c>
    </row>
    <row r="18" spans="1:18" x14ac:dyDescent="0.35">
      <c r="A18" s="14">
        <v>314</v>
      </c>
      <c r="B18" s="14" t="s">
        <v>155</v>
      </c>
      <c r="C18" s="14">
        <v>7707</v>
      </c>
      <c r="D18" s="14" t="s">
        <v>85</v>
      </c>
      <c r="E18" s="14">
        <v>70212131</v>
      </c>
      <c r="F18" s="14" t="s">
        <v>156</v>
      </c>
      <c r="G18" s="14" t="s">
        <v>157</v>
      </c>
      <c r="H18" s="14" t="s">
        <v>73</v>
      </c>
      <c r="I18" s="14">
        <v>70212131</v>
      </c>
      <c r="J18" s="14" t="s">
        <v>99</v>
      </c>
      <c r="K18" s="15">
        <f>I18</f>
        <v>70212131</v>
      </c>
      <c r="L18" s="15" t="s">
        <v>73</v>
      </c>
      <c r="M18" s="15" t="b">
        <v>1</v>
      </c>
      <c r="N18" s="15"/>
      <c r="O18" s="16" t="s">
        <v>158</v>
      </c>
      <c r="P18" s="16" t="s">
        <v>159</v>
      </c>
      <c r="Q18" s="16">
        <v>100</v>
      </c>
      <c r="R18" s="16" t="b">
        <v>1</v>
      </c>
    </row>
    <row r="19" spans="1:18" x14ac:dyDescent="0.35">
      <c r="A19" s="14">
        <v>1</v>
      </c>
      <c r="B19" s="14" t="s">
        <v>160</v>
      </c>
      <c r="C19" s="14">
        <v>6222</v>
      </c>
      <c r="D19" s="14" t="s">
        <v>85</v>
      </c>
      <c r="E19" s="14">
        <v>70214114</v>
      </c>
      <c r="F19" s="14" t="s">
        <v>161</v>
      </c>
      <c r="G19" s="14" t="s">
        <v>87</v>
      </c>
      <c r="H19" s="14" t="s">
        <v>80</v>
      </c>
      <c r="I19" s="14">
        <v>70214112</v>
      </c>
      <c r="J19" s="14" t="s">
        <v>162</v>
      </c>
      <c r="K19" s="14">
        <v>70214112</v>
      </c>
      <c r="L19" s="15" t="s">
        <v>80</v>
      </c>
      <c r="M19" s="15" t="b">
        <v>1</v>
      </c>
      <c r="N19" s="15"/>
      <c r="O19" s="16" t="s">
        <v>110</v>
      </c>
      <c r="P19" s="16" t="s">
        <v>163</v>
      </c>
      <c r="Q19" s="16">
        <v>100</v>
      </c>
      <c r="R19" s="16" t="b">
        <v>0</v>
      </c>
    </row>
    <row r="20" spans="1:18" x14ac:dyDescent="0.35">
      <c r="A20" s="14">
        <v>324</v>
      </c>
      <c r="B20" s="14" t="s">
        <v>164</v>
      </c>
      <c r="C20" s="14">
        <v>5620</v>
      </c>
      <c r="D20" s="14" t="s">
        <v>63</v>
      </c>
      <c r="E20" s="14">
        <v>70212011</v>
      </c>
      <c r="F20" s="14" t="s">
        <v>165</v>
      </c>
      <c r="G20" s="14" t="s">
        <v>125</v>
      </c>
      <c r="H20" s="14" t="s">
        <v>73</v>
      </c>
      <c r="I20" s="14">
        <v>70212011</v>
      </c>
      <c r="J20" s="14" t="s">
        <v>99</v>
      </c>
      <c r="K20" s="15">
        <f>I20</f>
        <v>70212011</v>
      </c>
      <c r="L20" s="15" t="s">
        <v>73</v>
      </c>
      <c r="M20" s="15" t="b">
        <v>1</v>
      </c>
      <c r="N20" s="15"/>
      <c r="O20" s="16" t="s">
        <v>166</v>
      </c>
      <c r="P20" s="16" t="s">
        <v>167</v>
      </c>
      <c r="Q20" s="16">
        <v>72.7</v>
      </c>
      <c r="R20" s="16" t="b">
        <v>0</v>
      </c>
    </row>
    <row r="21" spans="1:18" x14ac:dyDescent="0.35">
      <c r="A21" s="14">
        <v>552</v>
      </c>
      <c r="B21" s="14" t="s">
        <v>168</v>
      </c>
      <c r="C21" s="14">
        <v>5532</v>
      </c>
      <c r="D21" s="14" t="s">
        <v>63</v>
      </c>
      <c r="E21" s="14">
        <v>70201003</v>
      </c>
      <c r="F21" s="14" t="s">
        <v>169</v>
      </c>
      <c r="G21" s="14" t="s">
        <v>170</v>
      </c>
      <c r="H21" s="14" t="s">
        <v>80</v>
      </c>
      <c r="I21" s="14">
        <v>70222022</v>
      </c>
      <c r="J21" s="14" t="s">
        <v>171</v>
      </c>
      <c r="K21" s="14">
        <v>70222022</v>
      </c>
      <c r="L21" s="15" t="s">
        <v>80</v>
      </c>
      <c r="M21" s="15" t="b">
        <v>1</v>
      </c>
      <c r="N21" s="15"/>
      <c r="O21" s="16" t="s">
        <v>172</v>
      </c>
      <c r="P21" s="16" t="s">
        <v>173</v>
      </c>
      <c r="Q21" s="16">
        <v>72.7</v>
      </c>
      <c r="R21" s="16" t="b">
        <v>0</v>
      </c>
    </row>
    <row r="22" spans="1:18" x14ac:dyDescent="0.35">
      <c r="A22" s="14">
        <v>178</v>
      </c>
      <c r="B22" s="14" t="s">
        <v>174</v>
      </c>
      <c r="C22" s="14">
        <v>5396</v>
      </c>
      <c r="D22" s="14" t="s">
        <v>107</v>
      </c>
      <c r="E22" s="14">
        <v>70208041</v>
      </c>
      <c r="F22" s="14" t="s">
        <v>175</v>
      </c>
      <c r="G22" s="14" t="s">
        <v>114</v>
      </c>
      <c r="H22" s="14" t="s">
        <v>80</v>
      </c>
      <c r="I22" s="14">
        <v>70207037</v>
      </c>
      <c r="J22" s="14" t="s">
        <v>176</v>
      </c>
      <c r="K22" s="15">
        <v>70207037</v>
      </c>
      <c r="L22" s="15" t="s">
        <v>80</v>
      </c>
      <c r="M22" s="15" t="b">
        <v>1</v>
      </c>
      <c r="N22" s="15"/>
      <c r="O22" s="16" t="s">
        <v>177</v>
      </c>
      <c r="P22" s="16" t="s">
        <v>178</v>
      </c>
      <c r="Q22" s="16">
        <v>60</v>
      </c>
      <c r="R22" s="16" t="b">
        <v>0</v>
      </c>
    </row>
    <row r="23" spans="1:18" x14ac:dyDescent="0.35">
      <c r="A23" s="14">
        <v>385</v>
      </c>
      <c r="B23" s="14" t="s">
        <v>179</v>
      </c>
      <c r="C23" s="14">
        <v>4557</v>
      </c>
      <c r="D23" s="14" t="s">
        <v>85</v>
      </c>
      <c r="E23" s="14">
        <v>70211167</v>
      </c>
      <c r="F23" s="14" t="s">
        <v>180</v>
      </c>
      <c r="G23" s="14" t="s">
        <v>157</v>
      </c>
      <c r="H23" s="14" t="s">
        <v>73</v>
      </c>
      <c r="I23" s="14">
        <v>70211167</v>
      </c>
      <c r="J23" s="14" t="s">
        <v>99</v>
      </c>
      <c r="K23" s="15">
        <f>I23</f>
        <v>70211167</v>
      </c>
      <c r="L23" s="15" t="s">
        <v>73</v>
      </c>
      <c r="M23" s="15" t="b">
        <v>1</v>
      </c>
      <c r="N23" s="15"/>
      <c r="O23" s="16" t="s">
        <v>181</v>
      </c>
      <c r="P23" s="16" t="s">
        <v>182</v>
      </c>
      <c r="Q23" s="16">
        <v>100</v>
      </c>
      <c r="R23" s="16" t="b">
        <v>1</v>
      </c>
    </row>
    <row r="24" spans="1:18" x14ac:dyDescent="0.35">
      <c r="A24" s="14">
        <v>243</v>
      </c>
      <c r="B24" s="14" t="s">
        <v>183</v>
      </c>
      <c r="C24" s="14">
        <v>3555</v>
      </c>
      <c r="D24" s="14" t="s">
        <v>107</v>
      </c>
      <c r="E24" s="14">
        <v>70201103</v>
      </c>
      <c r="F24" s="14" t="s">
        <v>184</v>
      </c>
      <c r="G24" s="14" t="s">
        <v>185</v>
      </c>
      <c r="H24" s="14" t="s">
        <v>73</v>
      </c>
      <c r="I24" s="14">
        <v>70201015</v>
      </c>
      <c r="J24" s="14" t="s">
        <v>186</v>
      </c>
      <c r="K24" s="15">
        <f>I24</f>
        <v>70201015</v>
      </c>
      <c r="L24" s="15" t="s">
        <v>73</v>
      </c>
      <c r="M24" s="15" t="b">
        <v>1</v>
      </c>
      <c r="N24" s="15"/>
      <c r="O24" s="16" t="s">
        <v>187</v>
      </c>
      <c r="P24" s="16" t="s">
        <v>188</v>
      </c>
      <c r="Q24" s="16">
        <v>62.3</v>
      </c>
      <c r="R24" s="16" t="b">
        <v>0</v>
      </c>
    </row>
    <row r="25" spans="1:18" x14ac:dyDescent="0.35">
      <c r="A25" s="14">
        <v>23</v>
      </c>
      <c r="B25" s="14" t="s">
        <v>189</v>
      </c>
      <c r="C25" s="14">
        <v>3291</v>
      </c>
      <c r="D25" s="14" t="s">
        <v>85</v>
      </c>
      <c r="E25" s="14">
        <v>70214104</v>
      </c>
      <c r="F25" s="14" t="s">
        <v>190</v>
      </c>
      <c r="G25" s="14" t="s">
        <v>191</v>
      </c>
      <c r="H25" s="14" t="s">
        <v>80</v>
      </c>
      <c r="I25" s="14">
        <v>70214009</v>
      </c>
      <c r="J25" s="14" t="s">
        <v>192</v>
      </c>
      <c r="K25" s="15">
        <v>70214009</v>
      </c>
      <c r="L25" s="15" t="s">
        <v>80</v>
      </c>
      <c r="M25" s="15" t="b">
        <v>1</v>
      </c>
      <c r="N25" s="15"/>
      <c r="O25" s="16" t="s">
        <v>193</v>
      </c>
      <c r="P25" s="16" t="s">
        <v>194</v>
      </c>
      <c r="Q25" s="16">
        <v>100</v>
      </c>
      <c r="R25" s="16" t="b">
        <v>1</v>
      </c>
    </row>
    <row r="26" spans="1:18" x14ac:dyDescent="0.35">
      <c r="A26" s="14">
        <v>386</v>
      </c>
      <c r="B26" s="14" t="s">
        <v>195</v>
      </c>
      <c r="C26" s="14">
        <v>3272</v>
      </c>
      <c r="D26" s="14" t="s">
        <v>85</v>
      </c>
      <c r="E26" s="14">
        <v>70211127</v>
      </c>
      <c r="F26" s="14" t="s">
        <v>196</v>
      </c>
      <c r="G26" s="14" t="s">
        <v>157</v>
      </c>
      <c r="H26" s="14" t="s">
        <v>80</v>
      </c>
      <c r="I26" s="14">
        <v>70211127</v>
      </c>
      <c r="J26" s="14" t="s">
        <v>197</v>
      </c>
      <c r="K26" s="24">
        <v>70211127</v>
      </c>
      <c r="L26" s="15" t="s">
        <v>80</v>
      </c>
      <c r="M26" s="15" t="b">
        <v>1</v>
      </c>
      <c r="N26" s="15"/>
      <c r="O26" s="16" t="s">
        <v>198</v>
      </c>
      <c r="P26" s="16" t="s">
        <v>199</v>
      </c>
      <c r="Q26" s="16">
        <v>100</v>
      </c>
      <c r="R26" s="16" t="b">
        <v>1</v>
      </c>
    </row>
    <row r="27" spans="1:18" x14ac:dyDescent="0.35">
      <c r="A27" s="14">
        <v>368</v>
      </c>
      <c r="B27" s="14" t="s">
        <v>200</v>
      </c>
      <c r="C27" s="14">
        <v>3129</v>
      </c>
      <c r="D27" s="14" t="s">
        <v>63</v>
      </c>
      <c r="E27" s="14">
        <v>70211255</v>
      </c>
      <c r="F27" s="14" t="s">
        <v>201</v>
      </c>
      <c r="G27" s="14" t="s">
        <v>72</v>
      </c>
      <c r="H27" s="14" t="s">
        <v>73</v>
      </c>
      <c r="I27" s="14">
        <v>70209006</v>
      </c>
      <c r="J27" s="14" t="s">
        <v>202</v>
      </c>
      <c r="K27" s="15">
        <f>I27</f>
        <v>70209006</v>
      </c>
      <c r="L27" s="15" t="s">
        <v>73</v>
      </c>
      <c r="M27" s="15" t="b">
        <v>1</v>
      </c>
      <c r="N27" s="15"/>
      <c r="O27" s="16" t="s">
        <v>203</v>
      </c>
      <c r="P27" s="16" t="s">
        <v>204</v>
      </c>
      <c r="Q27" s="16">
        <v>69.400000000000006</v>
      </c>
      <c r="R27" s="16" t="b">
        <v>0</v>
      </c>
    </row>
    <row r="28" spans="1:18" x14ac:dyDescent="0.35">
      <c r="A28" s="14">
        <v>254</v>
      </c>
      <c r="B28" s="14" t="s">
        <v>205</v>
      </c>
      <c r="C28" s="14">
        <v>2872</v>
      </c>
      <c r="D28" s="14" t="s">
        <v>85</v>
      </c>
      <c r="E28" s="14">
        <v>70201014</v>
      </c>
      <c r="F28" s="14" t="s">
        <v>206</v>
      </c>
      <c r="G28" s="14" t="s">
        <v>185</v>
      </c>
      <c r="H28" s="14" t="s">
        <v>73</v>
      </c>
      <c r="I28" s="14">
        <v>70201014</v>
      </c>
      <c r="J28" s="14" t="s">
        <v>207</v>
      </c>
      <c r="K28" s="15">
        <f>I28</f>
        <v>70201014</v>
      </c>
      <c r="L28" s="15" t="s">
        <v>73</v>
      </c>
      <c r="M28" s="15" t="b">
        <v>1</v>
      </c>
      <c r="N28" s="15"/>
      <c r="O28" s="16" t="s">
        <v>187</v>
      </c>
      <c r="P28" s="16" t="s">
        <v>208</v>
      </c>
      <c r="Q28" s="16">
        <v>100</v>
      </c>
      <c r="R28" s="16" t="b">
        <v>1</v>
      </c>
    </row>
    <row r="29" spans="1:18" x14ac:dyDescent="0.35">
      <c r="A29" s="14">
        <v>371</v>
      </c>
      <c r="B29" s="14" t="s">
        <v>209</v>
      </c>
      <c r="C29" s="14">
        <v>2708</v>
      </c>
      <c r="D29" s="14" t="s">
        <v>63</v>
      </c>
      <c r="E29" s="14">
        <v>70211254</v>
      </c>
      <c r="F29" s="14" t="s">
        <v>210</v>
      </c>
      <c r="G29" s="14" t="s">
        <v>72</v>
      </c>
      <c r="H29" s="14" t="s">
        <v>211</v>
      </c>
      <c r="I29" s="14"/>
      <c r="J29" s="14" t="s">
        <v>212</v>
      </c>
      <c r="K29" s="14">
        <v>70211254</v>
      </c>
      <c r="L29" s="15" t="s">
        <v>80</v>
      </c>
      <c r="M29" s="15" t="b">
        <v>1</v>
      </c>
      <c r="N29" s="23" t="s">
        <v>2226</v>
      </c>
      <c r="O29" s="16" t="s">
        <v>203</v>
      </c>
      <c r="P29" s="16" t="s">
        <v>213</v>
      </c>
      <c r="Q29" s="16">
        <v>68.8</v>
      </c>
      <c r="R29" s="16" t="b">
        <v>1</v>
      </c>
    </row>
    <row r="30" spans="1:18" x14ac:dyDescent="0.35">
      <c r="A30" s="14">
        <v>610</v>
      </c>
      <c r="B30" s="14" t="s">
        <v>214</v>
      </c>
      <c r="C30" s="14">
        <v>2665</v>
      </c>
      <c r="D30" s="14" t="s">
        <v>85</v>
      </c>
      <c r="E30" s="14">
        <v>70217146</v>
      </c>
      <c r="F30" s="14" t="s">
        <v>215</v>
      </c>
      <c r="G30" s="14" t="s">
        <v>136</v>
      </c>
      <c r="H30" s="14" t="s">
        <v>73</v>
      </c>
      <c r="I30" s="14">
        <v>70212107</v>
      </c>
      <c r="J30" s="14" t="s">
        <v>216</v>
      </c>
      <c r="K30" s="15">
        <f>I30</f>
        <v>70212107</v>
      </c>
      <c r="L30" s="15" t="s">
        <v>73</v>
      </c>
      <c r="M30" s="15" t="b">
        <v>1</v>
      </c>
      <c r="N30" s="15"/>
      <c r="O30" s="16" t="s">
        <v>217</v>
      </c>
      <c r="P30" s="16" t="s">
        <v>218</v>
      </c>
      <c r="Q30" s="16">
        <v>100</v>
      </c>
      <c r="R30" s="16" t="b">
        <v>0</v>
      </c>
    </row>
    <row r="31" spans="1:18" x14ac:dyDescent="0.35">
      <c r="A31" s="14">
        <v>311</v>
      </c>
      <c r="B31" s="14" t="s">
        <v>219</v>
      </c>
      <c r="C31" s="14">
        <v>2437</v>
      </c>
      <c r="D31" s="14" t="s">
        <v>85</v>
      </c>
      <c r="E31" s="14">
        <v>70211005</v>
      </c>
      <c r="F31" s="14" t="s">
        <v>220</v>
      </c>
      <c r="G31" s="14" t="s">
        <v>72</v>
      </c>
      <c r="H31" s="14" t="s">
        <v>73</v>
      </c>
      <c r="I31" s="14">
        <v>70211005</v>
      </c>
      <c r="J31" s="14" t="s">
        <v>221</v>
      </c>
      <c r="K31" s="15">
        <f>I31</f>
        <v>70211005</v>
      </c>
      <c r="L31" s="15" t="s">
        <v>73</v>
      </c>
      <c r="M31" s="15" t="b">
        <v>1</v>
      </c>
      <c r="N31" s="15"/>
      <c r="O31" s="16" t="s">
        <v>222</v>
      </c>
      <c r="P31" s="16" t="s">
        <v>223</v>
      </c>
      <c r="Q31" s="16">
        <v>100</v>
      </c>
      <c r="R31" s="16" t="b">
        <v>1</v>
      </c>
    </row>
    <row r="32" spans="1:18" x14ac:dyDescent="0.35">
      <c r="A32" s="14">
        <v>420</v>
      </c>
      <c r="B32" s="14" t="s">
        <v>224</v>
      </c>
      <c r="C32" s="14">
        <v>2423</v>
      </c>
      <c r="D32" s="14" t="s">
        <v>63</v>
      </c>
      <c r="E32" s="14">
        <v>70211158</v>
      </c>
      <c r="F32" s="14" t="s">
        <v>225</v>
      </c>
      <c r="G32" s="14" t="s">
        <v>72</v>
      </c>
      <c r="H32" s="14" t="s">
        <v>73</v>
      </c>
      <c r="I32" s="14">
        <v>70211157</v>
      </c>
      <c r="J32" s="14" t="s">
        <v>226</v>
      </c>
      <c r="K32" s="15">
        <f>I32</f>
        <v>70211157</v>
      </c>
      <c r="L32" s="15" t="s">
        <v>73</v>
      </c>
      <c r="M32" s="15" t="b">
        <v>1</v>
      </c>
      <c r="N32" s="15"/>
      <c r="O32" s="16" t="s">
        <v>227</v>
      </c>
      <c r="P32" s="16" t="s">
        <v>228</v>
      </c>
      <c r="Q32" s="16">
        <v>66.7</v>
      </c>
      <c r="R32" s="16" t="b">
        <v>0</v>
      </c>
    </row>
    <row r="33" spans="1:18" x14ac:dyDescent="0.35">
      <c r="A33" s="14">
        <v>399</v>
      </c>
      <c r="B33" s="14" t="s">
        <v>229</v>
      </c>
      <c r="C33" s="14">
        <v>2333</v>
      </c>
      <c r="D33" s="14" t="s">
        <v>107</v>
      </c>
      <c r="E33" s="14">
        <v>70212015</v>
      </c>
      <c r="F33" s="14" t="s">
        <v>230</v>
      </c>
      <c r="G33" s="14" t="s">
        <v>125</v>
      </c>
      <c r="H33" s="14" t="s">
        <v>66</v>
      </c>
      <c r="I33" s="14"/>
      <c r="J33" s="14" t="s">
        <v>231</v>
      </c>
      <c r="K33" s="15">
        <v>70211020</v>
      </c>
      <c r="L33" s="15" t="s">
        <v>80</v>
      </c>
      <c r="M33" s="15" t="b">
        <v>1</v>
      </c>
      <c r="N33" s="15"/>
      <c r="O33" s="16" t="s">
        <v>232</v>
      </c>
      <c r="P33" s="16" t="s">
        <v>230</v>
      </c>
      <c r="Q33" s="16">
        <v>53.3</v>
      </c>
      <c r="R33" s="16" t="b">
        <v>1</v>
      </c>
    </row>
    <row r="34" spans="1:18" x14ac:dyDescent="0.35">
      <c r="A34" s="14">
        <v>303</v>
      </c>
      <c r="B34" s="14" t="s">
        <v>233</v>
      </c>
      <c r="C34" s="14">
        <v>2307</v>
      </c>
      <c r="D34" s="14" t="s">
        <v>85</v>
      </c>
      <c r="E34" s="14">
        <v>70211136</v>
      </c>
      <c r="F34" s="14" t="s">
        <v>234</v>
      </c>
      <c r="G34" s="14" t="s">
        <v>157</v>
      </c>
      <c r="H34" s="14" t="s">
        <v>73</v>
      </c>
      <c r="I34" s="14">
        <v>70216018</v>
      </c>
      <c r="J34" s="14" t="s">
        <v>235</v>
      </c>
      <c r="K34" s="14">
        <v>70216018</v>
      </c>
      <c r="L34" s="15" t="s">
        <v>80</v>
      </c>
      <c r="M34" s="15" t="b">
        <v>1</v>
      </c>
      <c r="N34" s="15"/>
      <c r="O34" s="16" t="s">
        <v>236</v>
      </c>
      <c r="P34" s="16" t="s">
        <v>237</v>
      </c>
      <c r="Q34" s="16">
        <v>100</v>
      </c>
      <c r="R34" s="16" t="b">
        <v>1</v>
      </c>
    </row>
    <row r="35" spans="1:18" x14ac:dyDescent="0.35">
      <c r="A35" s="14">
        <v>586</v>
      </c>
      <c r="B35" s="14" t="s">
        <v>238</v>
      </c>
      <c r="C35" s="14">
        <v>2274</v>
      </c>
      <c r="D35" s="14" t="s">
        <v>85</v>
      </c>
      <c r="E35" s="14">
        <v>70218057</v>
      </c>
      <c r="F35" s="14" t="s">
        <v>239</v>
      </c>
      <c r="G35" s="14" t="s">
        <v>142</v>
      </c>
      <c r="H35" s="14" t="s">
        <v>80</v>
      </c>
      <c r="I35" s="14">
        <v>70214004</v>
      </c>
      <c r="J35" s="14" t="s">
        <v>240</v>
      </c>
      <c r="K35" s="24">
        <v>70214004</v>
      </c>
      <c r="L35" s="15" t="s">
        <v>80</v>
      </c>
      <c r="M35" s="15" t="b">
        <v>1</v>
      </c>
      <c r="N35" s="15"/>
      <c r="O35" s="16" t="s">
        <v>241</v>
      </c>
      <c r="P35" s="16" t="s">
        <v>242</v>
      </c>
      <c r="Q35" s="16">
        <v>90.9</v>
      </c>
      <c r="R35" s="16" t="b">
        <v>0</v>
      </c>
    </row>
    <row r="36" spans="1:18" x14ac:dyDescent="0.35">
      <c r="A36" s="14">
        <v>88</v>
      </c>
      <c r="B36" s="14" t="s">
        <v>243</v>
      </c>
      <c r="C36" s="14">
        <v>2186</v>
      </c>
      <c r="D36" s="14" t="s">
        <v>85</v>
      </c>
      <c r="E36" s="14">
        <v>70213074</v>
      </c>
      <c r="F36" s="14" t="s">
        <v>244</v>
      </c>
      <c r="G36" s="14" t="s">
        <v>87</v>
      </c>
      <c r="H36" s="14" t="s">
        <v>80</v>
      </c>
      <c r="I36" s="14">
        <v>70213074</v>
      </c>
      <c r="J36" s="14" t="s">
        <v>245</v>
      </c>
      <c r="K36" s="14">
        <v>70213061</v>
      </c>
      <c r="L36" s="15" t="s">
        <v>80</v>
      </c>
      <c r="M36" s="15" t="b">
        <v>1</v>
      </c>
      <c r="N36" s="15" t="s">
        <v>2223</v>
      </c>
      <c r="O36" s="16" t="s">
        <v>246</v>
      </c>
      <c r="P36" s="16" t="s">
        <v>247</v>
      </c>
      <c r="Q36" s="16">
        <v>100</v>
      </c>
      <c r="R36" s="16" t="b">
        <v>1</v>
      </c>
    </row>
    <row r="37" spans="1:18" x14ac:dyDescent="0.35">
      <c r="A37" s="14">
        <v>260</v>
      </c>
      <c r="B37" s="14" t="s">
        <v>248</v>
      </c>
      <c r="C37" s="14">
        <v>2135</v>
      </c>
      <c r="D37" s="14" t="s">
        <v>63</v>
      </c>
      <c r="E37" s="14">
        <v>70201052</v>
      </c>
      <c r="F37" s="14" t="s">
        <v>249</v>
      </c>
      <c r="G37" s="14" t="s">
        <v>185</v>
      </c>
      <c r="H37" s="14" t="s">
        <v>73</v>
      </c>
      <c r="I37" s="14">
        <v>70201052</v>
      </c>
      <c r="J37" s="14" t="s">
        <v>250</v>
      </c>
      <c r="K37" s="15">
        <f>I37</f>
        <v>70201052</v>
      </c>
      <c r="L37" s="15" t="s">
        <v>73</v>
      </c>
      <c r="M37" s="15" t="b">
        <v>1</v>
      </c>
      <c r="N37" s="15"/>
      <c r="O37" s="16" t="s">
        <v>251</v>
      </c>
      <c r="P37" s="16" t="s">
        <v>252</v>
      </c>
      <c r="Q37" s="16">
        <v>83.9</v>
      </c>
      <c r="R37" s="16" t="b">
        <v>0</v>
      </c>
    </row>
    <row r="38" spans="1:18" s="21" customFormat="1" x14ac:dyDescent="0.35">
      <c r="A38" s="20">
        <v>159</v>
      </c>
      <c r="B38" s="20" t="s">
        <v>253</v>
      </c>
      <c r="C38" s="20">
        <v>2127</v>
      </c>
      <c r="D38" s="20" t="s">
        <v>107</v>
      </c>
      <c r="E38" s="20">
        <v>70204044</v>
      </c>
      <c r="F38" s="20" t="s">
        <v>254</v>
      </c>
      <c r="G38" s="20" t="s">
        <v>65</v>
      </c>
      <c r="H38" s="20" t="s">
        <v>80</v>
      </c>
      <c r="I38" s="20">
        <v>70207041</v>
      </c>
      <c r="J38" s="20" t="s">
        <v>255</v>
      </c>
      <c r="K38" s="20">
        <v>70207041</v>
      </c>
      <c r="L38" s="20" t="s">
        <v>80</v>
      </c>
      <c r="M38" s="20" t="b">
        <v>1</v>
      </c>
      <c r="N38" s="20"/>
      <c r="O38" s="20" t="s">
        <v>256</v>
      </c>
      <c r="P38" s="20" t="s">
        <v>257</v>
      </c>
      <c r="Q38" s="20">
        <v>63.6</v>
      </c>
      <c r="R38" s="20" t="b">
        <v>1</v>
      </c>
    </row>
    <row r="39" spans="1:18" x14ac:dyDescent="0.35">
      <c r="A39" s="14">
        <v>177</v>
      </c>
      <c r="B39" s="14" t="s">
        <v>258</v>
      </c>
      <c r="C39" s="14">
        <v>2023</v>
      </c>
      <c r="D39" s="14" t="s">
        <v>63</v>
      </c>
      <c r="E39" s="14">
        <v>70207022</v>
      </c>
      <c r="F39" s="14" t="s">
        <v>259</v>
      </c>
      <c r="G39" s="14" t="s">
        <v>65</v>
      </c>
      <c r="H39" s="14" t="s">
        <v>80</v>
      </c>
      <c r="I39" s="14">
        <v>70207022</v>
      </c>
      <c r="J39" s="14" t="s">
        <v>260</v>
      </c>
      <c r="K39" s="14">
        <v>70207022</v>
      </c>
      <c r="L39" s="15" t="s">
        <v>80</v>
      </c>
      <c r="M39" s="15" t="b">
        <v>1</v>
      </c>
      <c r="N39" s="15"/>
      <c r="O39" s="16" t="s">
        <v>177</v>
      </c>
      <c r="P39" s="16" t="s">
        <v>261</v>
      </c>
      <c r="Q39" s="16">
        <v>66.7</v>
      </c>
      <c r="R39" s="16" t="b">
        <v>1</v>
      </c>
    </row>
    <row r="40" spans="1:18" x14ac:dyDescent="0.35">
      <c r="A40" s="14">
        <v>649</v>
      </c>
      <c r="B40" s="14" t="s">
        <v>262</v>
      </c>
      <c r="C40" s="14">
        <v>1996</v>
      </c>
      <c r="D40" s="14" t="s">
        <v>85</v>
      </c>
      <c r="E40" s="14">
        <v>70213157</v>
      </c>
      <c r="F40" s="14" t="s">
        <v>263</v>
      </c>
      <c r="G40" s="14" t="s">
        <v>87</v>
      </c>
      <c r="H40" s="14" t="s">
        <v>80</v>
      </c>
      <c r="I40" s="14">
        <v>70213157</v>
      </c>
      <c r="J40" s="14" t="s">
        <v>264</v>
      </c>
      <c r="K40" s="15">
        <v>70217063</v>
      </c>
      <c r="L40" s="15" t="s">
        <v>80</v>
      </c>
      <c r="M40" s="15" t="b">
        <v>1</v>
      </c>
      <c r="N40" s="23" t="s">
        <v>2225</v>
      </c>
      <c r="O40" s="16" t="s">
        <v>265</v>
      </c>
      <c r="P40" s="16" t="s">
        <v>266</v>
      </c>
      <c r="Q40" s="16">
        <v>100</v>
      </c>
      <c r="R40" s="16" t="b">
        <v>1</v>
      </c>
    </row>
    <row r="41" spans="1:18" x14ac:dyDescent="0.35">
      <c r="A41" s="14">
        <v>313</v>
      </c>
      <c r="B41" s="14" t="s">
        <v>267</v>
      </c>
      <c r="C41" s="14">
        <v>1836</v>
      </c>
      <c r="D41" s="14" t="s">
        <v>85</v>
      </c>
      <c r="E41" s="14">
        <v>70212130</v>
      </c>
      <c r="F41" s="14" t="s">
        <v>268</v>
      </c>
      <c r="G41" s="14" t="s">
        <v>157</v>
      </c>
      <c r="H41" s="14"/>
      <c r="I41" s="14"/>
      <c r="J41" s="14"/>
      <c r="K41" s="15">
        <v>70212130</v>
      </c>
      <c r="L41" s="15" t="s">
        <v>73</v>
      </c>
      <c r="M41" s="15" t="b">
        <v>1</v>
      </c>
      <c r="N41" s="15"/>
      <c r="O41" s="16" t="s">
        <v>158</v>
      </c>
      <c r="P41" s="16" t="s">
        <v>269</v>
      </c>
      <c r="Q41" s="16">
        <v>100</v>
      </c>
      <c r="R41" s="16" t="b">
        <v>1</v>
      </c>
    </row>
    <row r="42" spans="1:18" s="21" customFormat="1" x14ac:dyDescent="0.35">
      <c r="A42" s="14">
        <v>262</v>
      </c>
      <c r="B42" s="20" t="s">
        <v>270</v>
      </c>
      <c r="C42" s="20">
        <v>1770</v>
      </c>
      <c r="D42" s="20" t="s">
        <v>63</v>
      </c>
      <c r="E42" s="14">
        <v>70201023</v>
      </c>
      <c r="F42" s="14" t="s">
        <v>271</v>
      </c>
      <c r="G42" s="14" t="s">
        <v>185</v>
      </c>
      <c r="H42" s="14"/>
      <c r="I42" s="20"/>
      <c r="J42" s="14"/>
      <c r="K42" s="20">
        <v>70201029</v>
      </c>
      <c r="L42" s="20" t="s">
        <v>80</v>
      </c>
      <c r="M42" s="20" t="b">
        <v>1</v>
      </c>
      <c r="N42" s="20"/>
      <c r="O42" s="20" t="s">
        <v>251</v>
      </c>
      <c r="P42" s="20" t="s">
        <v>272</v>
      </c>
      <c r="Q42" s="20">
        <v>70.599999999999994</v>
      </c>
      <c r="R42" s="20" t="b">
        <v>0</v>
      </c>
    </row>
    <row r="43" spans="1:18" x14ac:dyDescent="0.35">
      <c r="A43" s="14">
        <v>128</v>
      </c>
      <c r="B43" s="14" t="s">
        <v>273</v>
      </c>
      <c r="C43" s="14">
        <v>1766</v>
      </c>
      <c r="D43" s="14" t="s">
        <v>63</v>
      </c>
      <c r="E43" s="14">
        <v>70207044</v>
      </c>
      <c r="F43" s="14" t="s">
        <v>274</v>
      </c>
      <c r="G43" s="14" t="s">
        <v>65</v>
      </c>
      <c r="H43" s="14"/>
      <c r="I43" s="14"/>
      <c r="J43" s="14"/>
      <c r="K43" s="15">
        <v>70204025</v>
      </c>
      <c r="L43" s="15" t="s">
        <v>211</v>
      </c>
      <c r="M43" s="15" t="b">
        <v>1</v>
      </c>
      <c r="N43" s="15"/>
      <c r="O43" s="16" t="s">
        <v>275</v>
      </c>
      <c r="P43" s="16" t="s">
        <v>276</v>
      </c>
      <c r="Q43" s="16">
        <v>69.599999999999994</v>
      </c>
      <c r="R43" s="16" t="b">
        <v>0</v>
      </c>
    </row>
    <row r="44" spans="1:18" x14ac:dyDescent="0.35">
      <c r="A44" s="14">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x14ac:dyDescent="0.35">
      <c r="A45" s="14">
        <v>393</v>
      </c>
      <c r="B45" s="14" t="s">
        <v>280</v>
      </c>
      <c r="C45" s="14">
        <v>1727</v>
      </c>
      <c r="D45" s="14" t="s">
        <v>107</v>
      </c>
      <c r="E45" s="14">
        <v>70210010</v>
      </c>
      <c r="F45" s="14" t="s">
        <v>281</v>
      </c>
      <c r="G45" s="14" t="s">
        <v>170</v>
      </c>
      <c r="H45" s="14"/>
      <c r="I45" s="14"/>
      <c r="J45" s="14"/>
      <c r="K45" s="15">
        <v>70211058</v>
      </c>
      <c r="L45" s="15" t="s">
        <v>73</v>
      </c>
      <c r="M45" s="15" t="b">
        <v>1</v>
      </c>
      <c r="N45" s="15"/>
      <c r="O45" s="16" t="s">
        <v>121</v>
      </c>
      <c r="P45" s="16" t="s">
        <v>282</v>
      </c>
      <c r="Q45" s="16">
        <v>56</v>
      </c>
      <c r="R45" s="16" t="b">
        <v>0</v>
      </c>
    </row>
    <row r="46" spans="1:18" x14ac:dyDescent="0.35">
      <c r="A46" s="14">
        <v>620</v>
      </c>
      <c r="B46" s="14" t="s">
        <v>283</v>
      </c>
      <c r="C46" s="14">
        <v>1703</v>
      </c>
      <c r="D46" s="14" t="s">
        <v>63</v>
      </c>
      <c r="E46" s="14">
        <v>70214044</v>
      </c>
      <c r="F46" s="14" t="s">
        <v>284</v>
      </c>
      <c r="G46" s="14" t="s">
        <v>285</v>
      </c>
      <c r="H46" s="14"/>
      <c r="I46" s="14"/>
      <c r="J46" s="14"/>
      <c r="K46" s="15"/>
      <c r="L46" s="15"/>
      <c r="M46" s="15" t="b">
        <v>0</v>
      </c>
      <c r="N46" s="15"/>
      <c r="O46" s="16" t="s">
        <v>217</v>
      </c>
      <c r="P46" s="16" t="s">
        <v>286</v>
      </c>
      <c r="Q46" s="16">
        <v>66.7</v>
      </c>
      <c r="R46" s="16" t="b">
        <v>0</v>
      </c>
    </row>
    <row r="47" spans="1:18" x14ac:dyDescent="0.35">
      <c r="A47" s="14">
        <v>87</v>
      </c>
      <c r="B47" s="14" t="s">
        <v>287</v>
      </c>
      <c r="C47" s="14">
        <v>1703</v>
      </c>
      <c r="D47" s="14" t="s">
        <v>85</v>
      </c>
      <c r="E47" s="14">
        <v>70213150</v>
      </c>
      <c r="F47" s="14" t="s">
        <v>288</v>
      </c>
      <c r="G47" s="14" t="s">
        <v>87</v>
      </c>
      <c r="H47" s="14" t="s">
        <v>80</v>
      </c>
      <c r="I47" s="14">
        <v>70213150</v>
      </c>
      <c r="J47" s="14" t="s">
        <v>289</v>
      </c>
      <c r="K47" s="14">
        <v>70213061</v>
      </c>
      <c r="L47" s="15" t="s">
        <v>80</v>
      </c>
      <c r="M47" s="15" t="b">
        <v>1</v>
      </c>
      <c r="N47" s="15"/>
      <c r="O47" s="16" t="s">
        <v>290</v>
      </c>
      <c r="P47" s="16" t="s">
        <v>291</v>
      </c>
      <c r="Q47" s="16">
        <v>100</v>
      </c>
      <c r="R47" s="16" t="b">
        <v>1</v>
      </c>
    </row>
    <row r="48" spans="1:18" x14ac:dyDescent="0.35">
      <c r="A48" s="14">
        <v>232</v>
      </c>
      <c r="B48" s="14" t="s">
        <v>292</v>
      </c>
      <c r="C48" s="14">
        <v>1613</v>
      </c>
      <c r="D48" s="14" t="s">
        <v>85</v>
      </c>
      <c r="E48" s="14">
        <v>70208021</v>
      </c>
      <c r="F48" s="14" t="s">
        <v>293</v>
      </c>
      <c r="G48" s="14" t="s">
        <v>114</v>
      </c>
      <c r="H48" s="14" t="s">
        <v>73</v>
      </c>
      <c r="I48" s="14">
        <v>70208021</v>
      </c>
      <c r="J48" s="14" t="s">
        <v>294</v>
      </c>
      <c r="K48" s="15">
        <v>70208022</v>
      </c>
      <c r="L48" s="15" t="s">
        <v>80</v>
      </c>
      <c r="M48" s="15" t="b">
        <v>1</v>
      </c>
      <c r="N48" s="15" t="s">
        <v>2222</v>
      </c>
      <c r="O48" s="16" t="s">
        <v>295</v>
      </c>
      <c r="P48" s="16" t="s">
        <v>296</v>
      </c>
      <c r="Q48" s="16">
        <v>100</v>
      </c>
      <c r="R48" s="16" t="b">
        <v>1</v>
      </c>
    </row>
    <row r="49" spans="1:18" x14ac:dyDescent="0.35">
      <c r="A49" s="14">
        <v>523</v>
      </c>
      <c r="B49" s="14" t="s">
        <v>297</v>
      </c>
      <c r="C49" s="14">
        <v>1606</v>
      </c>
      <c r="D49" s="14" t="s">
        <v>107</v>
      </c>
      <c r="E49" s="14">
        <v>70222005</v>
      </c>
      <c r="F49" s="14" t="s">
        <v>298</v>
      </c>
      <c r="G49" s="14" t="s">
        <v>79</v>
      </c>
      <c r="H49" s="14" t="s">
        <v>73</v>
      </c>
      <c r="I49" s="14">
        <v>70222005</v>
      </c>
      <c r="J49" s="14" t="s">
        <v>299</v>
      </c>
      <c r="K49" s="15">
        <f>I49</f>
        <v>70222005</v>
      </c>
      <c r="L49" s="15" t="s">
        <v>73</v>
      </c>
      <c r="M49" s="15" t="b">
        <v>1</v>
      </c>
      <c r="N49" s="15"/>
      <c r="O49" s="16" t="s">
        <v>300</v>
      </c>
      <c r="P49" s="16" t="s">
        <v>301</v>
      </c>
      <c r="Q49" s="16">
        <v>63.2</v>
      </c>
      <c r="R49" s="16" t="b">
        <v>0</v>
      </c>
    </row>
    <row r="50" spans="1:18" x14ac:dyDescent="0.35">
      <c r="A50" s="14">
        <v>108</v>
      </c>
      <c r="B50" s="14" t="s">
        <v>302</v>
      </c>
      <c r="C50" s="14">
        <v>1583</v>
      </c>
      <c r="D50" s="14" t="s">
        <v>63</v>
      </c>
      <c r="E50" s="14">
        <v>70205031</v>
      </c>
      <c r="F50" s="14" t="s">
        <v>303</v>
      </c>
      <c r="G50" s="14" t="s">
        <v>65</v>
      </c>
      <c r="H50" s="14" t="s">
        <v>80</v>
      </c>
      <c r="I50" s="14">
        <v>70205023</v>
      </c>
      <c r="J50" s="14" t="s">
        <v>304</v>
      </c>
      <c r="K50" s="14">
        <v>70205023</v>
      </c>
      <c r="L50" s="15" t="s">
        <v>80</v>
      </c>
      <c r="M50" s="15" t="b">
        <v>1</v>
      </c>
      <c r="N50" s="15"/>
      <c r="O50" s="16" t="s">
        <v>275</v>
      </c>
      <c r="P50" s="16" t="s">
        <v>305</v>
      </c>
      <c r="Q50" s="16">
        <v>72.7</v>
      </c>
      <c r="R50" s="16" t="b">
        <v>0</v>
      </c>
    </row>
    <row r="51" spans="1:18" x14ac:dyDescent="0.35">
      <c r="A51" s="14">
        <v>396</v>
      </c>
      <c r="B51" s="14" t="s">
        <v>306</v>
      </c>
      <c r="C51" s="14">
        <v>1522</v>
      </c>
      <c r="D51" s="14" t="s">
        <v>107</v>
      </c>
      <c r="E51" s="14">
        <v>70212165</v>
      </c>
      <c r="F51" s="14" t="s">
        <v>307</v>
      </c>
      <c r="G51" s="14" t="s">
        <v>157</v>
      </c>
      <c r="H51" s="14" t="s">
        <v>73</v>
      </c>
      <c r="I51" s="14">
        <v>70211010</v>
      </c>
      <c r="J51" s="14" t="s">
        <v>308</v>
      </c>
      <c r="K51" s="15">
        <v>70211010</v>
      </c>
      <c r="L51" s="15" t="s">
        <v>73</v>
      </c>
      <c r="M51" s="15" t="b">
        <v>1</v>
      </c>
      <c r="N51" s="15"/>
      <c r="O51" s="16" t="s">
        <v>309</v>
      </c>
      <c r="P51" s="16" t="s">
        <v>310</v>
      </c>
      <c r="Q51" s="16">
        <v>57.9</v>
      </c>
      <c r="R51" s="16" t="b">
        <v>0</v>
      </c>
    </row>
    <row r="52" spans="1:18" x14ac:dyDescent="0.35">
      <c r="A52" s="14">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x14ac:dyDescent="0.35">
      <c r="A53" s="14">
        <v>403</v>
      </c>
      <c r="B53" s="14" t="s">
        <v>316</v>
      </c>
      <c r="C53" s="14">
        <v>1487</v>
      </c>
      <c r="D53" s="14" t="s">
        <v>63</v>
      </c>
      <c r="E53" s="14">
        <v>70211023</v>
      </c>
      <c r="F53" s="14" t="s">
        <v>317</v>
      </c>
      <c r="G53" s="14" t="s">
        <v>72</v>
      </c>
      <c r="H53" s="14" t="s">
        <v>73</v>
      </c>
      <c r="I53" s="14">
        <v>70211023</v>
      </c>
      <c r="J53" s="14" t="s">
        <v>318</v>
      </c>
      <c r="K53" s="15">
        <f>I53</f>
        <v>70211023</v>
      </c>
      <c r="L53" s="15" t="s">
        <v>73</v>
      </c>
      <c r="M53" s="15" t="b">
        <v>1</v>
      </c>
      <c r="N53" s="15"/>
      <c r="O53" s="16" t="s">
        <v>319</v>
      </c>
      <c r="P53" s="16" t="s">
        <v>320</v>
      </c>
      <c r="Q53" s="16">
        <v>75</v>
      </c>
      <c r="R53" s="16" t="b">
        <v>1</v>
      </c>
    </row>
    <row r="54" spans="1:18" x14ac:dyDescent="0.35">
      <c r="A54" s="14">
        <v>336</v>
      </c>
      <c r="B54" s="14" t="s">
        <v>321</v>
      </c>
      <c r="C54" s="14">
        <v>1401</v>
      </c>
      <c r="D54" s="14" t="s">
        <v>85</v>
      </c>
      <c r="E54" s="14">
        <v>70212103</v>
      </c>
      <c r="F54" s="14" t="s">
        <v>322</v>
      </c>
      <c r="G54" s="14" t="s">
        <v>125</v>
      </c>
      <c r="H54" s="14" t="s">
        <v>73</v>
      </c>
      <c r="I54" s="14">
        <v>70212103</v>
      </c>
      <c r="J54" s="14" t="s">
        <v>323</v>
      </c>
      <c r="K54" s="15">
        <f>I54</f>
        <v>70212103</v>
      </c>
      <c r="L54" s="15" t="s">
        <v>73</v>
      </c>
      <c r="M54" s="15" t="b">
        <v>1</v>
      </c>
      <c r="N54" s="15"/>
      <c r="O54" s="16" t="s">
        <v>324</v>
      </c>
      <c r="P54" s="16" t="s">
        <v>325</v>
      </c>
      <c r="Q54" s="16">
        <v>100</v>
      </c>
      <c r="R54" s="16" t="b">
        <v>1</v>
      </c>
    </row>
    <row r="55" spans="1:18" x14ac:dyDescent="0.35">
      <c r="A55" s="14">
        <v>369</v>
      </c>
      <c r="B55" s="14" t="s">
        <v>326</v>
      </c>
      <c r="C55" s="14">
        <v>1345</v>
      </c>
      <c r="D55" s="14" t="s">
        <v>63</v>
      </c>
      <c r="E55" s="14">
        <v>70211255</v>
      </c>
      <c r="F55" s="14" t="s">
        <v>201</v>
      </c>
      <c r="G55" s="14" t="s">
        <v>72</v>
      </c>
      <c r="H55" s="14" t="s">
        <v>73</v>
      </c>
      <c r="I55" s="14">
        <v>70209050</v>
      </c>
      <c r="J55" s="14" t="s">
        <v>327</v>
      </c>
      <c r="K55" s="15">
        <f>I55</f>
        <v>70209050</v>
      </c>
      <c r="L55" s="15" t="s">
        <v>73</v>
      </c>
      <c r="M55" s="15" t="b">
        <v>1</v>
      </c>
      <c r="N55" s="15"/>
      <c r="O55" s="16" t="s">
        <v>203</v>
      </c>
      <c r="P55" s="16" t="s">
        <v>204</v>
      </c>
      <c r="Q55" s="16">
        <v>75</v>
      </c>
      <c r="R55" s="16" t="b">
        <v>0</v>
      </c>
    </row>
    <row r="56" spans="1:18" x14ac:dyDescent="0.35">
      <c r="A56" s="14">
        <v>323</v>
      </c>
      <c r="B56" s="14" t="s">
        <v>328</v>
      </c>
      <c r="C56" s="14">
        <v>1343</v>
      </c>
      <c r="D56" s="14" t="s">
        <v>85</v>
      </c>
      <c r="E56" s="14">
        <v>70212010</v>
      </c>
      <c r="F56" s="14" t="s">
        <v>329</v>
      </c>
      <c r="G56" s="14" t="s">
        <v>125</v>
      </c>
      <c r="H56" s="14" t="s">
        <v>73</v>
      </c>
      <c r="I56" s="14">
        <v>70212010</v>
      </c>
      <c r="J56" s="14" t="s">
        <v>330</v>
      </c>
      <c r="K56" s="15">
        <f>I56</f>
        <v>70212010</v>
      </c>
      <c r="L56" s="15" t="s">
        <v>73</v>
      </c>
      <c r="M56" s="15" t="b">
        <v>1</v>
      </c>
      <c r="N56" s="15"/>
      <c r="O56" s="16" t="s">
        <v>166</v>
      </c>
      <c r="P56" s="16" t="s">
        <v>331</v>
      </c>
      <c r="Q56" s="16">
        <v>100</v>
      </c>
      <c r="R56" s="16" t="b">
        <v>0</v>
      </c>
    </row>
    <row r="57" spans="1:18" x14ac:dyDescent="0.35">
      <c r="A57" s="14">
        <v>237</v>
      </c>
      <c r="B57" s="14" t="s">
        <v>332</v>
      </c>
      <c r="C57" s="14">
        <v>1325</v>
      </c>
      <c r="D57" s="14" t="s">
        <v>63</v>
      </c>
      <c r="E57" s="14">
        <v>70211159</v>
      </c>
      <c r="F57" s="14" t="s">
        <v>333</v>
      </c>
      <c r="G57" s="14" t="s">
        <v>72</v>
      </c>
      <c r="H57" s="14" t="s">
        <v>73</v>
      </c>
      <c r="I57" s="14">
        <v>70208040</v>
      </c>
      <c r="J57" s="14" t="s">
        <v>334</v>
      </c>
      <c r="K57" s="15">
        <v>70208040</v>
      </c>
      <c r="L57" s="15" t="s">
        <v>73</v>
      </c>
      <c r="M57" s="15" t="b">
        <v>1</v>
      </c>
      <c r="N57" s="15"/>
      <c r="O57" s="16" t="s">
        <v>335</v>
      </c>
      <c r="P57" s="16" t="s">
        <v>336</v>
      </c>
      <c r="Q57" s="16">
        <v>75</v>
      </c>
      <c r="R57" s="16" t="b">
        <v>0</v>
      </c>
    </row>
    <row r="58" spans="1:18" x14ac:dyDescent="0.35">
      <c r="A58" s="14">
        <v>400</v>
      </c>
      <c r="B58" s="14" t="s">
        <v>337</v>
      </c>
      <c r="C58" s="14">
        <v>1262</v>
      </c>
      <c r="D58" s="14" t="s">
        <v>85</v>
      </c>
      <c r="E58" s="14">
        <v>70211169</v>
      </c>
      <c r="F58" s="14" t="s">
        <v>338</v>
      </c>
      <c r="G58" s="14" t="s">
        <v>72</v>
      </c>
      <c r="H58" s="14" t="s">
        <v>73</v>
      </c>
      <c r="I58" s="14">
        <v>70211169</v>
      </c>
      <c r="J58" s="14" t="s">
        <v>339</v>
      </c>
      <c r="K58" s="15">
        <f>I58</f>
        <v>70211169</v>
      </c>
      <c r="L58" s="15" t="s">
        <v>73</v>
      </c>
      <c r="M58" s="15" t="b">
        <v>1</v>
      </c>
      <c r="N58" s="15"/>
      <c r="O58" s="16" t="s">
        <v>340</v>
      </c>
      <c r="P58" s="16" t="s">
        <v>341</v>
      </c>
      <c r="Q58" s="16">
        <v>100</v>
      </c>
      <c r="R58" s="16" t="b">
        <v>1</v>
      </c>
    </row>
    <row r="59" spans="1:18" x14ac:dyDescent="0.35">
      <c r="A59" s="14">
        <v>417</v>
      </c>
      <c r="B59" s="14" t="s">
        <v>342</v>
      </c>
      <c r="C59" s="14">
        <v>1235</v>
      </c>
      <c r="D59" s="14" t="s">
        <v>107</v>
      </c>
      <c r="E59" s="14">
        <v>70203027</v>
      </c>
      <c r="F59" s="14" t="s">
        <v>343</v>
      </c>
      <c r="G59" s="14" t="s">
        <v>65</v>
      </c>
      <c r="H59" s="14" t="s">
        <v>73</v>
      </c>
      <c r="I59" s="14">
        <v>70211150</v>
      </c>
      <c r="J59" s="14" t="s">
        <v>344</v>
      </c>
      <c r="K59" s="14">
        <v>70211150</v>
      </c>
      <c r="L59" s="15" t="s">
        <v>73</v>
      </c>
      <c r="M59" s="15" t="b">
        <v>1</v>
      </c>
      <c r="N59" s="15"/>
      <c r="O59" s="16" t="s">
        <v>345</v>
      </c>
      <c r="P59" s="16" t="s">
        <v>346</v>
      </c>
      <c r="Q59" s="16">
        <v>61.1</v>
      </c>
      <c r="R59" s="16" t="b">
        <v>1</v>
      </c>
    </row>
    <row r="60" spans="1:18" x14ac:dyDescent="0.35">
      <c r="A60" s="14">
        <v>401</v>
      </c>
      <c r="B60" s="14" t="s">
        <v>347</v>
      </c>
      <c r="C60" s="14">
        <v>1222</v>
      </c>
      <c r="D60" s="14" t="s">
        <v>63</v>
      </c>
      <c r="E60" s="14">
        <v>70211138</v>
      </c>
      <c r="F60" s="14" t="s">
        <v>348</v>
      </c>
      <c r="G60" s="14" t="s">
        <v>72</v>
      </c>
      <c r="H60" s="14" t="s">
        <v>73</v>
      </c>
      <c r="I60" s="14">
        <v>70211157</v>
      </c>
      <c r="J60" s="14" t="s">
        <v>349</v>
      </c>
      <c r="K60" s="15">
        <v>70211157</v>
      </c>
      <c r="L60" s="15" t="s">
        <v>73</v>
      </c>
      <c r="M60" s="15" t="b">
        <v>1</v>
      </c>
      <c r="N60" s="15"/>
      <c r="O60" s="16" t="s">
        <v>350</v>
      </c>
      <c r="P60" s="16" t="s">
        <v>351</v>
      </c>
      <c r="Q60" s="16">
        <v>73.3</v>
      </c>
      <c r="R60" s="16" t="b">
        <v>0</v>
      </c>
    </row>
    <row r="61" spans="1:18" x14ac:dyDescent="0.35">
      <c r="A61" s="14">
        <v>427</v>
      </c>
      <c r="B61" s="14" t="s">
        <v>352</v>
      </c>
      <c r="C61" s="14">
        <v>1200</v>
      </c>
      <c r="D61" s="14" t="s">
        <v>63</v>
      </c>
      <c r="E61" s="14">
        <v>70211179</v>
      </c>
      <c r="F61" s="14" t="s">
        <v>353</v>
      </c>
      <c r="G61" s="14" t="s">
        <v>72</v>
      </c>
      <c r="H61" s="14" t="s">
        <v>73</v>
      </c>
      <c r="I61" s="14">
        <v>70211105</v>
      </c>
      <c r="J61" s="14" t="s">
        <v>354</v>
      </c>
      <c r="K61" s="15">
        <f>I61</f>
        <v>70211105</v>
      </c>
      <c r="L61" s="15" t="s">
        <v>73</v>
      </c>
      <c r="M61" s="15" t="b">
        <v>1</v>
      </c>
      <c r="N61" s="15"/>
      <c r="O61" s="16" t="s">
        <v>355</v>
      </c>
      <c r="P61" s="16" t="s">
        <v>356</v>
      </c>
      <c r="Q61" s="16">
        <v>77.400000000000006</v>
      </c>
      <c r="R61" s="16" t="b">
        <v>1</v>
      </c>
    </row>
    <row r="62" spans="1:18" x14ac:dyDescent="0.35">
      <c r="A62" s="14">
        <v>587</v>
      </c>
      <c r="B62" s="14" t="s">
        <v>357</v>
      </c>
      <c r="C62" s="14">
        <v>1165</v>
      </c>
      <c r="D62" s="14" t="s">
        <v>107</v>
      </c>
      <c r="E62" s="14">
        <v>70217047</v>
      </c>
      <c r="F62" s="14" t="s">
        <v>358</v>
      </c>
      <c r="G62" s="14" t="s">
        <v>136</v>
      </c>
      <c r="H62" s="14" t="s">
        <v>80</v>
      </c>
      <c r="I62" s="14">
        <v>70217047</v>
      </c>
      <c r="J62" s="14" t="s">
        <v>359</v>
      </c>
      <c r="K62" s="14">
        <v>70217047</v>
      </c>
      <c r="L62" s="15" t="s">
        <v>80</v>
      </c>
      <c r="M62" s="15" t="b">
        <v>1</v>
      </c>
      <c r="N62" s="15"/>
      <c r="O62" s="16" t="s">
        <v>360</v>
      </c>
      <c r="P62" s="16" t="s">
        <v>361</v>
      </c>
      <c r="Q62" s="16">
        <v>64.2</v>
      </c>
      <c r="R62" s="16" t="b">
        <v>0</v>
      </c>
    </row>
    <row r="63" spans="1:18" x14ac:dyDescent="0.35">
      <c r="A63" s="14">
        <v>71</v>
      </c>
      <c r="B63" s="14" t="s">
        <v>362</v>
      </c>
      <c r="C63" s="14">
        <v>1112</v>
      </c>
      <c r="D63" s="14" t="s">
        <v>63</v>
      </c>
      <c r="E63" s="14">
        <v>70213008</v>
      </c>
      <c r="F63" s="14" t="s">
        <v>363</v>
      </c>
      <c r="G63" s="14" t="s">
        <v>87</v>
      </c>
      <c r="H63" s="14" t="s">
        <v>73</v>
      </c>
      <c r="I63" s="14">
        <v>70213008</v>
      </c>
      <c r="J63" s="14" t="s">
        <v>364</v>
      </c>
      <c r="K63" s="15">
        <f>I63</f>
        <v>70213008</v>
      </c>
      <c r="L63" s="15" t="s">
        <v>73</v>
      </c>
      <c r="M63" s="15" t="b">
        <v>1</v>
      </c>
      <c r="N63" s="15"/>
      <c r="O63" s="16" t="s">
        <v>365</v>
      </c>
      <c r="P63" s="16" t="s">
        <v>366</v>
      </c>
      <c r="Q63" s="16">
        <v>70</v>
      </c>
      <c r="R63" s="16" t="b">
        <v>0</v>
      </c>
    </row>
    <row r="64" spans="1:18" x14ac:dyDescent="0.35">
      <c r="A64" s="14">
        <v>389</v>
      </c>
      <c r="B64" s="14" t="s">
        <v>367</v>
      </c>
      <c r="C64" s="14">
        <v>1082</v>
      </c>
      <c r="D64" s="14" t="s">
        <v>85</v>
      </c>
      <c r="E64" s="14">
        <v>70211033</v>
      </c>
      <c r="F64" s="14" t="s">
        <v>368</v>
      </c>
      <c r="G64" s="14" t="s">
        <v>157</v>
      </c>
      <c r="H64" s="14" t="s">
        <v>73</v>
      </c>
      <c r="I64" s="14">
        <v>70211033</v>
      </c>
      <c r="J64" s="14" t="s">
        <v>369</v>
      </c>
      <c r="K64" s="15">
        <f>I64</f>
        <v>70211033</v>
      </c>
      <c r="L64" s="15" t="s">
        <v>73</v>
      </c>
      <c r="M64" s="15" t="b">
        <v>1</v>
      </c>
      <c r="N64" s="15"/>
      <c r="O64" s="16" t="s">
        <v>370</v>
      </c>
      <c r="P64" s="16" t="s">
        <v>371</v>
      </c>
      <c r="Q64" s="16">
        <v>100</v>
      </c>
      <c r="R64" s="16" t="b">
        <v>1</v>
      </c>
    </row>
    <row r="65" spans="1:18" x14ac:dyDescent="0.35">
      <c r="A65" s="14">
        <v>174</v>
      </c>
      <c r="B65" s="14" t="s">
        <v>372</v>
      </c>
      <c r="C65" s="14">
        <v>1063</v>
      </c>
      <c r="D65" s="14" t="s">
        <v>85</v>
      </c>
      <c r="E65" s="14">
        <v>70207015</v>
      </c>
      <c r="F65" s="14" t="s">
        <v>373</v>
      </c>
      <c r="G65" s="14" t="s">
        <v>65</v>
      </c>
      <c r="H65" s="14" t="s">
        <v>73</v>
      </c>
      <c r="I65" s="14">
        <v>70207015</v>
      </c>
      <c r="J65" s="14" t="s">
        <v>374</v>
      </c>
      <c r="K65" s="15">
        <f>I65</f>
        <v>70207015</v>
      </c>
      <c r="L65" s="15" t="s">
        <v>73</v>
      </c>
      <c r="M65" s="15" t="b">
        <v>1</v>
      </c>
      <c r="N65" s="15"/>
      <c r="O65" s="16" t="s">
        <v>375</v>
      </c>
      <c r="P65" s="16" t="s">
        <v>376</v>
      </c>
      <c r="Q65" s="16">
        <v>100</v>
      </c>
      <c r="R65" s="16" t="b">
        <v>1</v>
      </c>
    </row>
    <row r="66" spans="1:18" x14ac:dyDescent="0.35">
      <c r="A66" s="14">
        <v>611</v>
      </c>
      <c r="B66" s="14" t="s">
        <v>377</v>
      </c>
      <c r="C66" s="14">
        <v>1006</v>
      </c>
      <c r="D66" s="14" t="s">
        <v>85</v>
      </c>
      <c r="E66" s="14">
        <v>70212121</v>
      </c>
      <c r="F66" s="14" t="s">
        <v>378</v>
      </c>
      <c r="G66" s="14" t="s">
        <v>125</v>
      </c>
      <c r="H66" s="14" t="s">
        <v>73</v>
      </c>
      <c r="I66" s="14">
        <v>70212121</v>
      </c>
      <c r="J66" s="14" t="s">
        <v>379</v>
      </c>
      <c r="K66" s="15">
        <f>I66</f>
        <v>70212121</v>
      </c>
      <c r="L66" s="15" t="s">
        <v>73</v>
      </c>
      <c r="M66" s="15" t="b">
        <v>1</v>
      </c>
      <c r="N66" s="15"/>
      <c r="O66" s="16" t="s">
        <v>217</v>
      </c>
      <c r="P66" s="16" t="s">
        <v>380</v>
      </c>
      <c r="Q66" s="16">
        <v>92.3</v>
      </c>
      <c r="R66" s="16" t="b">
        <v>0</v>
      </c>
    </row>
    <row r="67" spans="1:18" x14ac:dyDescent="0.35">
      <c r="A67" s="14">
        <v>506</v>
      </c>
      <c r="B67" s="14" t="s">
        <v>381</v>
      </c>
      <c r="C67" s="14">
        <v>990</v>
      </c>
      <c r="D67" s="14" t="s">
        <v>107</v>
      </c>
      <c r="E67" s="14">
        <v>70222005</v>
      </c>
      <c r="F67" s="14" t="s">
        <v>298</v>
      </c>
      <c r="G67" s="14" t="s">
        <v>79</v>
      </c>
      <c r="H67" s="14" t="s">
        <v>73</v>
      </c>
      <c r="I67" s="14">
        <v>70222021</v>
      </c>
      <c r="J67" s="14" t="s">
        <v>382</v>
      </c>
      <c r="K67" s="22">
        <v>70211110</v>
      </c>
      <c r="L67" s="14" t="s">
        <v>73</v>
      </c>
      <c r="M67" s="14" t="b">
        <v>1</v>
      </c>
      <c r="N67" s="14"/>
      <c r="O67" s="14" t="s">
        <v>383</v>
      </c>
      <c r="P67" s="14" t="s">
        <v>301</v>
      </c>
      <c r="Q67" s="14">
        <v>63.2</v>
      </c>
      <c r="R67" s="14" t="b">
        <v>0</v>
      </c>
    </row>
    <row r="68" spans="1:18" x14ac:dyDescent="0.35">
      <c r="A68" s="14">
        <v>328</v>
      </c>
      <c r="B68" s="14" t="s">
        <v>384</v>
      </c>
      <c r="C68" s="14">
        <v>978</v>
      </c>
      <c r="D68" s="14" t="s">
        <v>85</v>
      </c>
      <c r="E68" s="14">
        <v>70212073</v>
      </c>
      <c r="F68" s="14" t="s">
        <v>385</v>
      </c>
      <c r="G68" s="14" t="s">
        <v>125</v>
      </c>
      <c r="H68" s="14" t="s">
        <v>73</v>
      </c>
      <c r="I68" s="14">
        <v>70212073</v>
      </c>
      <c r="J68" s="14" t="s">
        <v>386</v>
      </c>
      <c r="K68" s="15">
        <f>I68</f>
        <v>70212073</v>
      </c>
      <c r="L68" s="15" t="s">
        <v>73</v>
      </c>
      <c r="M68" s="15" t="b">
        <v>1</v>
      </c>
      <c r="N68" s="15"/>
      <c r="O68" s="16" t="s">
        <v>387</v>
      </c>
      <c r="P68" s="16" t="s">
        <v>388</v>
      </c>
      <c r="Q68" s="16">
        <v>100</v>
      </c>
      <c r="R68" s="16" t="b">
        <v>1</v>
      </c>
    </row>
    <row r="69" spans="1:18" x14ac:dyDescent="0.35">
      <c r="A69" s="14">
        <v>376</v>
      </c>
      <c r="B69" s="14" t="s">
        <v>389</v>
      </c>
      <c r="C69" s="14">
        <v>949</v>
      </c>
      <c r="D69" s="14" t="s">
        <v>107</v>
      </c>
      <c r="E69" s="14">
        <v>70211088</v>
      </c>
      <c r="F69" s="14" t="s">
        <v>390</v>
      </c>
      <c r="G69" s="14" t="s">
        <v>170</v>
      </c>
      <c r="H69" s="14" t="s">
        <v>73</v>
      </c>
      <c r="I69" s="14">
        <v>70211088</v>
      </c>
      <c r="J69" s="14" t="s">
        <v>391</v>
      </c>
      <c r="K69" s="15">
        <f>I69</f>
        <v>70211088</v>
      </c>
      <c r="L69" s="15" t="s">
        <v>73</v>
      </c>
      <c r="M69" s="15" t="b">
        <v>1</v>
      </c>
      <c r="N69" s="15"/>
      <c r="O69" s="16" t="s">
        <v>392</v>
      </c>
      <c r="P69" s="16" t="s">
        <v>393</v>
      </c>
      <c r="Q69" s="16">
        <v>62.3</v>
      </c>
      <c r="R69" s="16" t="b">
        <v>0</v>
      </c>
    </row>
    <row r="70" spans="1:18" x14ac:dyDescent="0.35">
      <c r="A70" s="14">
        <v>447</v>
      </c>
      <c r="B70" s="18" t="s">
        <v>394</v>
      </c>
      <c r="C70" s="14">
        <v>947</v>
      </c>
      <c r="D70" s="14" t="s">
        <v>63</v>
      </c>
      <c r="E70" s="14">
        <v>7023</v>
      </c>
      <c r="F70" s="14" t="s">
        <v>395</v>
      </c>
      <c r="G70" s="14" t="s">
        <v>114</v>
      </c>
      <c r="H70" s="14" t="s">
        <v>73</v>
      </c>
      <c r="I70" s="14">
        <v>70211110</v>
      </c>
      <c r="J70" s="14" t="s">
        <v>396</v>
      </c>
      <c r="K70" s="14">
        <v>70211242</v>
      </c>
      <c r="L70" s="15" t="s">
        <v>80</v>
      </c>
      <c r="M70" s="15" t="b">
        <v>1</v>
      </c>
      <c r="N70" s="23" t="s">
        <v>2224</v>
      </c>
      <c r="O70" s="16" t="s">
        <v>397</v>
      </c>
      <c r="P70" s="16" t="s">
        <v>398</v>
      </c>
      <c r="Q70" s="16">
        <v>76.900000000000006</v>
      </c>
      <c r="R70" s="16" t="b">
        <v>1</v>
      </c>
    </row>
    <row r="71" spans="1:18" x14ac:dyDescent="0.35">
      <c r="A71" s="14">
        <v>419</v>
      </c>
      <c r="B71" s="14" t="s">
        <v>399</v>
      </c>
      <c r="C71" s="14">
        <v>907</v>
      </c>
      <c r="D71" s="14" t="s">
        <v>107</v>
      </c>
      <c r="E71" s="14">
        <v>70211115</v>
      </c>
      <c r="F71" s="14" t="s">
        <v>400</v>
      </c>
      <c r="G71" s="14" t="s">
        <v>72</v>
      </c>
      <c r="H71" s="14" t="s">
        <v>66</v>
      </c>
      <c r="I71" s="14"/>
      <c r="J71" s="14" t="s">
        <v>401</v>
      </c>
      <c r="K71" s="15">
        <v>70211047</v>
      </c>
      <c r="L71" s="15" t="s">
        <v>73</v>
      </c>
      <c r="M71" s="15" t="b">
        <v>1</v>
      </c>
      <c r="N71" s="15"/>
      <c r="O71" s="16" t="s">
        <v>402</v>
      </c>
      <c r="P71" s="16" t="s">
        <v>400</v>
      </c>
      <c r="Q71" s="16">
        <v>55.6</v>
      </c>
      <c r="R71" s="16" t="b">
        <v>1</v>
      </c>
    </row>
    <row r="72" spans="1:18" x14ac:dyDescent="0.35">
      <c r="A72" s="14">
        <v>20</v>
      </c>
      <c r="B72" s="14" t="s">
        <v>403</v>
      </c>
      <c r="C72" s="14">
        <v>902</v>
      </c>
      <c r="D72" s="14" t="s">
        <v>85</v>
      </c>
      <c r="E72" s="14">
        <v>70214002</v>
      </c>
      <c r="F72" s="14" t="s">
        <v>404</v>
      </c>
      <c r="G72" s="14" t="s">
        <v>142</v>
      </c>
      <c r="H72" s="14" t="s">
        <v>73</v>
      </c>
      <c r="I72" s="14">
        <v>70214002</v>
      </c>
      <c r="J72" s="14" t="s">
        <v>405</v>
      </c>
      <c r="K72" s="15">
        <f>I72</f>
        <v>70214002</v>
      </c>
      <c r="L72" s="15" t="s">
        <v>73</v>
      </c>
      <c r="M72" s="15" t="b">
        <v>1</v>
      </c>
      <c r="N72" s="15"/>
      <c r="O72" s="16" t="s">
        <v>193</v>
      </c>
      <c r="P72" s="16" t="s">
        <v>406</v>
      </c>
      <c r="Q72" s="16">
        <v>100</v>
      </c>
      <c r="R72" s="16" t="b">
        <v>1</v>
      </c>
    </row>
    <row r="73" spans="1:18" x14ac:dyDescent="0.35">
      <c r="A73" s="14">
        <v>439</v>
      </c>
      <c r="B73" s="14" t="s">
        <v>407</v>
      </c>
      <c r="C73" s="14">
        <v>901</v>
      </c>
      <c r="D73" s="14" t="s">
        <v>107</v>
      </c>
      <c r="E73" s="14">
        <v>70212131</v>
      </c>
      <c r="F73" s="14" t="s">
        <v>156</v>
      </c>
      <c r="G73" s="14" t="s">
        <v>157</v>
      </c>
      <c r="H73" s="14" t="s">
        <v>80</v>
      </c>
      <c r="I73" s="14">
        <v>70211110</v>
      </c>
      <c r="J73" s="14" t="s">
        <v>408</v>
      </c>
      <c r="K73" s="15">
        <v>70211189</v>
      </c>
      <c r="L73" s="15" t="s">
        <v>80</v>
      </c>
      <c r="M73" s="15" t="b">
        <v>1</v>
      </c>
      <c r="N73" s="15"/>
      <c r="O73" s="16" t="s">
        <v>392</v>
      </c>
      <c r="P73" s="16" t="s">
        <v>159</v>
      </c>
      <c r="Q73" s="16">
        <v>60.5</v>
      </c>
      <c r="R73" s="16" t="b">
        <v>0</v>
      </c>
    </row>
    <row r="74" spans="1:18" x14ac:dyDescent="0.35">
      <c r="A74" s="14">
        <v>514</v>
      </c>
      <c r="B74" s="14" t="s">
        <v>409</v>
      </c>
      <c r="C74" s="14">
        <v>900</v>
      </c>
      <c r="D74" s="14" t="s">
        <v>85</v>
      </c>
      <c r="E74" s="14">
        <v>70222007</v>
      </c>
      <c r="F74" s="14" t="s">
        <v>410</v>
      </c>
      <c r="G74" s="14" t="s">
        <v>79</v>
      </c>
      <c r="H74" s="14" t="s">
        <v>73</v>
      </c>
      <c r="I74" s="14">
        <v>70222047</v>
      </c>
      <c r="J74" s="14" t="s">
        <v>411</v>
      </c>
      <c r="K74" s="15">
        <f>I74</f>
        <v>70222047</v>
      </c>
      <c r="L74" s="15" t="s">
        <v>73</v>
      </c>
      <c r="M74" s="15" t="b">
        <v>1</v>
      </c>
      <c r="N74" s="15"/>
      <c r="O74" s="16" t="s">
        <v>412</v>
      </c>
      <c r="P74" s="16" t="s">
        <v>413</v>
      </c>
      <c r="Q74" s="16">
        <v>100</v>
      </c>
      <c r="R74" s="16" t="b">
        <v>1</v>
      </c>
    </row>
    <row r="75" spans="1:18" x14ac:dyDescent="0.35">
      <c r="A75" s="14">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x14ac:dyDescent="0.35">
      <c r="A76" s="14">
        <v>242</v>
      </c>
      <c r="B76" s="14" t="s">
        <v>419</v>
      </c>
      <c r="C76" s="14">
        <v>890</v>
      </c>
      <c r="D76" s="14" t="s">
        <v>63</v>
      </c>
      <c r="E76" s="14">
        <v>70201082</v>
      </c>
      <c r="F76" s="14" t="s">
        <v>420</v>
      </c>
      <c r="G76" s="14" t="s">
        <v>185</v>
      </c>
      <c r="H76" s="14" t="s">
        <v>211</v>
      </c>
      <c r="I76" s="14"/>
      <c r="J76" s="14" t="s">
        <v>421</v>
      </c>
      <c r="K76" s="14">
        <v>70201015</v>
      </c>
      <c r="L76" s="15" t="s">
        <v>80</v>
      </c>
      <c r="M76" s="15" t="b">
        <v>1</v>
      </c>
      <c r="N76" s="15" t="s">
        <v>2221</v>
      </c>
      <c r="O76" s="16" t="s">
        <v>187</v>
      </c>
      <c r="P76" s="16" t="s">
        <v>422</v>
      </c>
      <c r="Q76" s="16">
        <v>72.7</v>
      </c>
      <c r="R76" s="16" t="b">
        <v>0</v>
      </c>
    </row>
    <row r="77" spans="1:18" x14ac:dyDescent="0.35">
      <c r="A77" s="14">
        <v>58</v>
      </c>
      <c r="B77" s="14" t="s">
        <v>423</v>
      </c>
      <c r="C77" s="14">
        <v>889</v>
      </c>
      <c r="D77" s="14" t="s">
        <v>85</v>
      </c>
      <c r="E77" s="14">
        <v>70213038</v>
      </c>
      <c r="F77" s="14" t="s">
        <v>424</v>
      </c>
      <c r="G77" s="14" t="s">
        <v>87</v>
      </c>
      <c r="H77" s="14"/>
      <c r="I77" s="14"/>
      <c r="J77" s="14"/>
      <c r="K77" s="24">
        <v>70213038</v>
      </c>
      <c r="L77" s="15" t="s">
        <v>73</v>
      </c>
      <c r="M77" s="15" t="b">
        <v>1</v>
      </c>
      <c r="N77" s="15"/>
      <c r="O77" s="16" t="s">
        <v>425</v>
      </c>
      <c r="P77" s="16" t="s">
        <v>426</v>
      </c>
      <c r="Q77" s="16">
        <v>100</v>
      </c>
      <c r="R77" s="16" t="b">
        <v>0</v>
      </c>
    </row>
    <row r="78" spans="1:18" x14ac:dyDescent="0.35">
      <c r="A78" s="14">
        <v>19</v>
      </c>
      <c r="B78" s="14" t="s">
        <v>427</v>
      </c>
      <c r="C78" s="14">
        <v>881</v>
      </c>
      <c r="D78" s="14" t="s">
        <v>85</v>
      </c>
      <c r="E78" s="14">
        <v>70214009</v>
      </c>
      <c r="F78" s="14" t="s">
        <v>428</v>
      </c>
      <c r="G78" s="14" t="s">
        <v>191</v>
      </c>
      <c r="H78" s="14"/>
      <c r="I78" s="14"/>
      <c r="J78" s="14"/>
      <c r="K78" s="24">
        <v>70214009</v>
      </c>
      <c r="L78" s="15" t="s">
        <v>73</v>
      </c>
      <c r="M78" s="15" t="b">
        <v>1</v>
      </c>
      <c r="N78" s="15"/>
      <c r="O78" s="16" t="s">
        <v>193</v>
      </c>
      <c r="P78" s="16" t="s">
        <v>429</v>
      </c>
      <c r="Q78" s="16">
        <v>100</v>
      </c>
      <c r="R78" s="16" t="b">
        <v>0</v>
      </c>
    </row>
    <row r="79" spans="1:18" x14ac:dyDescent="0.35">
      <c r="A79" s="14">
        <v>579</v>
      </c>
      <c r="B79" s="14" t="s">
        <v>430</v>
      </c>
      <c r="C79" s="14">
        <v>824</v>
      </c>
      <c r="D79" s="14" t="s">
        <v>107</v>
      </c>
      <c r="E79" s="14">
        <v>70213111</v>
      </c>
      <c r="F79" s="14" t="s">
        <v>431</v>
      </c>
      <c r="G79" s="14" t="s">
        <v>87</v>
      </c>
      <c r="H79" s="14"/>
      <c r="I79" s="14"/>
      <c r="J79" s="14"/>
      <c r="K79" s="15"/>
      <c r="L79" s="15"/>
      <c r="M79" s="15" t="b">
        <v>0</v>
      </c>
      <c r="N79" s="15"/>
      <c r="O79" s="16" t="s">
        <v>432</v>
      </c>
      <c r="P79" s="16" t="s">
        <v>433</v>
      </c>
      <c r="Q79" s="16">
        <v>53.8</v>
      </c>
      <c r="R79" s="16" t="b">
        <v>0</v>
      </c>
    </row>
    <row r="80" spans="1:18" x14ac:dyDescent="0.35">
      <c r="A80" s="14">
        <v>414</v>
      </c>
      <c r="B80" s="14" t="s">
        <v>434</v>
      </c>
      <c r="C80" s="14">
        <v>805</v>
      </c>
      <c r="D80" s="14" t="s">
        <v>85</v>
      </c>
      <c r="E80" s="14">
        <v>70211138</v>
      </c>
      <c r="F80" s="14" t="s">
        <v>348</v>
      </c>
      <c r="G80" s="14" t="s">
        <v>72</v>
      </c>
      <c r="H80" s="14"/>
      <c r="I80" s="14"/>
      <c r="J80" s="14"/>
      <c r="K80" s="15">
        <v>70211138</v>
      </c>
      <c r="L80" s="15" t="s">
        <v>73</v>
      </c>
      <c r="M80" s="15" t="b">
        <v>1</v>
      </c>
      <c r="N80" s="15"/>
      <c r="O80" s="16" t="s">
        <v>435</v>
      </c>
      <c r="P80" s="16" t="s">
        <v>351</v>
      </c>
      <c r="Q80" s="16">
        <v>100</v>
      </c>
      <c r="R80" s="16" t="b">
        <v>1</v>
      </c>
    </row>
    <row r="81" spans="1:18" x14ac:dyDescent="0.35">
      <c r="A81" s="14">
        <v>56</v>
      </c>
      <c r="B81" s="14" t="s">
        <v>436</v>
      </c>
      <c r="C81" s="14">
        <v>798</v>
      </c>
      <c r="D81" s="14" t="s">
        <v>63</v>
      </c>
      <c r="E81" s="14">
        <v>70213174</v>
      </c>
      <c r="F81" s="14" t="s">
        <v>437</v>
      </c>
      <c r="G81" s="14" t="s">
        <v>87</v>
      </c>
      <c r="H81" s="14"/>
      <c r="I81" s="14"/>
      <c r="J81" s="14"/>
      <c r="K81" s="15">
        <v>70213031</v>
      </c>
      <c r="L81" s="15" t="s">
        <v>80</v>
      </c>
      <c r="M81" s="15" t="b">
        <v>1</v>
      </c>
      <c r="N81" s="15"/>
      <c r="O81" s="16" t="s">
        <v>438</v>
      </c>
      <c r="P81" s="16" t="s">
        <v>439</v>
      </c>
      <c r="Q81" s="16">
        <v>73.2</v>
      </c>
      <c r="R81" s="16" t="b">
        <v>0</v>
      </c>
    </row>
    <row r="82" spans="1:18" x14ac:dyDescent="0.35">
      <c r="A82" s="14">
        <v>3587</v>
      </c>
      <c r="B82" s="14" t="s">
        <v>440</v>
      </c>
      <c r="C82" s="14">
        <v>789</v>
      </c>
      <c r="D82" s="14" t="s">
        <v>63</v>
      </c>
      <c r="E82" s="14">
        <v>70213002</v>
      </c>
      <c r="F82" s="14" t="s">
        <v>441</v>
      </c>
      <c r="G82" s="14" t="s">
        <v>87</v>
      </c>
      <c r="H82" s="14"/>
      <c r="I82" s="14"/>
      <c r="J82" s="14"/>
      <c r="K82" s="15">
        <v>70211118</v>
      </c>
      <c r="L82" s="15" t="s">
        <v>80</v>
      </c>
      <c r="M82" s="15" t="b">
        <v>1</v>
      </c>
      <c r="N82" s="15"/>
      <c r="O82" s="16" t="s">
        <v>442</v>
      </c>
      <c r="P82" s="16" t="s">
        <v>443</v>
      </c>
      <c r="Q82" s="16">
        <v>70.599999999999994</v>
      </c>
      <c r="R82" s="16" t="b">
        <v>1</v>
      </c>
    </row>
    <row r="83" spans="1:18" x14ac:dyDescent="0.35">
      <c r="A83" s="14">
        <v>367</v>
      </c>
      <c r="B83" s="14" t="s">
        <v>444</v>
      </c>
      <c r="C83" s="14">
        <v>764</v>
      </c>
      <c r="D83" s="14" t="s">
        <v>63</v>
      </c>
      <c r="E83" s="14">
        <v>70211255</v>
      </c>
      <c r="F83" s="14" t="s">
        <v>201</v>
      </c>
      <c r="G83" s="14" t="s">
        <v>72</v>
      </c>
      <c r="H83" s="14"/>
      <c r="I83" s="14"/>
      <c r="J83" s="14"/>
      <c r="K83" s="15">
        <v>70209060</v>
      </c>
      <c r="L83" s="15" t="s">
        <v>73</v>
      </c>
      <c r="M83" s="15" t="b">
        <v>1</v>
      </c>
      <c r="N83" s="15"/>
      <c r="O83" s="16" t="s">
        <v>203</v>
      </c>
      <c r="P83" s="16" t="s">
        <v>204</v>
      </c>
      <c r="Q83" s="16">
        <v>73.5</v>
      </c>
      <c r="R83" s="16" t="b">
        <v>0</v>
      </c>
    </row>
    <row r="84" spans="1:18" x14ac:dyDescent="0.35">
      <c r="A84" s="14">
        <v>432</v>
      </c>
      <c r="B84" s="18"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x14ac:dyDescent="0.35">
      <c r="A85" s="14">
        <v>458</v>
      </c>
      <c r="B85" s="14" t="s">
        <v>449</v>
      </c>
      <c r="C85" s="14">
        <v>745</v>
      </c>
      <c r="D85" s="14" t="s">
        <v>85</v>
      </c>
      <c r="E85" s="14">
        <v>70215036</v>
      </c>
      <c r="F85" s="14" t="s">
        <v>450</v>
      </c>
      <c r="G85" s="14" t="s">
        <v>142</v>
      </c>
      <c r="H85" s="14"/>
      <c r="I85" s="14"/>
      <c r="J85" s="14"/>
      <c r="K85" s="15">
        <v>70215036</v>
      </c>
      <c r="L85" s="15" t="s">
        <v>73</v>
      </c>
      <c r="M85" s="15" t="b">
        <v>1</v>
      </c>
      <c r="N85" s="15"/>
      <c r="O85" s="16" t="s">
        <v>144</v>
      </c>
      <c r="P85" s="16" t="s">
        <v>451</v>
      </c>
      <c r="Q85" s="16">
        <v>90</v>
      </c>
      <c r="R85" s="16" t="b">
        <v>0</v>
      </c>
    </row>
    <row r="86" spans="1:18" x14ac:dyDescent="0.35">
      <c r="A86" s="14">
        <v>359</v>
      </c>
      <c r="B86" s="18" t="s">
        <v>452</v>
      </c>
      <c r="C86" s="14">
        <v>732</v>
      </c>
      <c r="D86" s="14" t="s">
        <v>63</v>
      </c>
      <c r="E86" s="14">
        <v>70205044</v>
      </c>
      <c r="F86" s="14" t="s">
        <v>453</v>
      </c>
      <c r="G86" s="14" t="s">
        <v>65</v>
      </c>
      <c r="H86" s="14"/>
      <c r="I86" s="14"/>
      <c r="J86" s="14"/>
      <c r="K86" s="24">
        <v>70212156</v>
      </c>
      <c r="L86" s="15" t="s">
        <v>80</v>
      </c>
      <c r="M86" s="15" t="b">
        <v>1</v>
      </c>
      <c r="N86" s="15"/>
      <c r="O86" s="16" t="s">
        <v>454</v>
      </c>
      <c r="P86" s="16" t="s">
        <v>455</v>
      </c>
      <c r="Q86" s="16">
        <v>71.400000000000006</v>
      </c>
      <c r="R86" s="16" t="b">
        <v>1</v>
      </c>
    </row>
    <row r="87" spans="1:18" x14ac:dyDescent="0.35">
      <c r="A87" s="14">
        <v>652</v>
      </c>
      <c r="B87" s="14" t="s">
        <v>456</v>
      </c>
      <c r="C87" s="14">
        <v>723</v>
      </c>
      <c r="D87" s="14" t="s">
        <v>107</v>
      </c>
      <c r="E87" s="14">
        <v>70209044</v>
      </c>
      <c r="F87" s="14" t="s">
        <v>457</v>
      </c>
      <c r="G87" s="14" t="s">
        <v>170</v>
      </c>
      <c r="H87" s="14" t="s">
        <v>458</v>
      </c>
      <c r="I87" s="14"/>
      <c r="J87" s="14" t="s">
        <v>459</v>
      </c>
      <c r="K87" s="14"/>
      <c r="L87" s="14" t="s">
        <v>458</v>
      </c>
      <c r="M87" s="14" t="b">
        <v>1</v>
      </c>
      <c r="N87" s="14"/>
      <c r="O87" s="14" t="s">
        <v>460</v>
      </c>
      <c r="P87" s="14" t="s">
        <v>461</v>
      </c>
      <c r="Q87" s="14">
        <v>55.3</v>
      </c>
      <c r="R87" s="14" t="b">
        <v>0</v>
      </c>
    </row>
    <row r="88" spans="1:18" x14ac:dyDescent="0.35">
      <c r="A88" s="14">
        <v>340</v>
      </c>
      <c r="B88" s="14" t="s">
        <v>462</v>
      </c>
      <c r="C88" s="14">
        <v>723</v>
      </c>
      <c r="D88" s="14" t="s">
        <v>107</v>
      </c>
      <c r="E88" s="14">
        <v>70213075</v>
      </c>
      <c r="F88" s="14" t="s">
        <v>463</v>
      </c>
      <c r="G88" s="14" t="s">
        <v>87</v>
      </c>
      <c r="H88" s="14"/>
      <c r="I88" s="14"/>
      <c r="J88" s="14"/>
      <c r="K88" s="15">
        <v>70212125</v>
      </c>
      <c r="L88" s="15" t="s">
        <v>80</v>
      </c>
      <c r="M88" s="15" t="b">
        <v>1</v>
      </c>
      <c r="N88" s="15"/>
      <c r="O88" s="16" t="s">
        <v>464</v>
      </c>
      <c r="P88" s="16" t="s">
        <v>465</v>
      </c>
      <c r="Q88" s="16">
        <v>47.1</v>
      </c>
      <c r="R88" s="16" t="b">
        <v>1</v>
      </c>
    </row>
    <row r="89" spans="1:18" x14ac:dyDescent="0.35">
      <c r="A89" s="14">
        <v>645</v>
      </c>
      <c r="B89" s="18"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x14ac:dyDescent="0.35">
      <c r="A90" s="14">
        <v>395</v>
      </c>
      <c r="B90" s="14" t="s">
        <v>470</v>
      </c>
      <c r="C90" s="14">
        <v>670</v>
      </c>
      <c r="D90" s="14" t="s">
        <v>63</v>
      </c>
      <c r="E90" s="14">
        <v>70212101</v>
      </c>
      <c r="F90" s="14" t="s">
        <v>471</v>
      </c>
      <c r="G90" s="14" t="s">
        <v>125</v>
      </c>
      <c r="H90" s="14"/>
      <c r="I90" s="14"/>
      <c r="J90" s="14"/>
      <c r="K90" s="15">
        <v>70211060</v>
      </c>
      <c r="L90" s="15" t="s">
        <v>80</v>
      </c>
      <c r="M90" s="15" t="b">
        <v>1</v>
      </c>
      <c r="N90" s="15"/>
      <c r="O90" s="16" t="s">
        <v>121</v>
      </c>
      <c r="P90" s="16" t="s">
        <v>472</v>
      </c>
      <c r="Q90" s="16">
        <v>66.7</v>
      </c>
      <c r="R90" s="16" t="b">
        <v>1</v>
      </c>
    </row>
    <row r="91" spans="1:18" s="30" customFormat="1" x14ac:dyDescent="0.35">
      <c r="A91" s="14">
        <v>18</v>
      </c>
      <c r="B91" s="29" t="s">
        <v>473</v>
      </c>
      <c r="C91" s="29">
        <v>668</v>
      </c>
      <c r="D91" s="29" t="s">
        <v>63</v>
      </c>
      <c r="E91" s="14">
        <v>70216012</v>
      </c>
      <c r="F91" s="14" t="s">
        <v>474</v>
      </c>
      <c r="G91" s="14" t="s">
        <v>103</v>
      </c>
      <c r="H91" s="14"/>
      <c r="I91" s="29"/>
      <c r="J91" s="29"/>
      <c r="K91" s="24">
        <v>70214002</v>
      </c>
      <c r="L91" s="29" t="s">
        <v>80</v>
      </c>
      <c r="M91" s="29" t="b">
        <v>1</v>
      </c>
      <c r="N91" s="29"/>
      <c r="O91" s="29" t="s">
        <v>193</v>
      </c>
      <c r="P91" s="29" t="s">
        <v>475</v>
      </c>
      <c r="Q91" s="29">
        <v>76.900000000000006</v>
      </c>
      <c r="R91" s="29" t="b">
        <v>0</v>
      </c>
    </row>
    <row r="92" spans="1:18" x14ac:dyDescent="0.35">
      <c r="A92" s="14">
        <v>326</v>
      </c>
      <c r="B92" s="14" t="s">
        <v>476</v>
      </c>
      <c r="C92" s="14">
        <v>658</v>
      </c>
      <c r="D92" s="14" t="s">
        <v>85</v>
      </c>
      <c r="E92" s="14">
        <v>70212112</v>
      </c>
      <c r="F92" s="14" t="s">
        <v>477</v>
      </c>
      <c r="G92" s="14" t="s">
        <v>125</v>
      </c>
      <c r="H92" s="14"/>
      <c r="I92" s="14"/>
      <c r="J92" s="14"/>
      <c r="K92" s="15">
        <v>70212112</v>
      </c>
      <c r="L92" s="15" t="s">
        <v>73</v>
      </c>
      <c r="M92" s="15" t="b">
        <v>1</v>
      </c>
      <c r="N92" s="15"/>
      <c r="O92" s="16" t="s">
        <v>478</v>
      </c>
      <c r="P92" s="16" t="s">
        <v>479</v>
      </c>
      <c r="Q92" s="16">
        <v>100</v>
      </c>
      <c r="R92" s="16" t="b">
        <v>1</v>
      </c>
    </row>
    <row r="93" spans="1:18" s="21" customFormat="1" x14ac:dyDescent="0.35">
      <c r="A93" s="14">
        <v>76</v>
      </c>
      <c r="B93" s="20" t="s">
        <v>480</v>
      </c>
      <c r="C93" s="20">
        <v>656</v>
      </c>
      <c r="D93" s="20" t="s">
        <v>107</v>
      </c>
      <c r="E93" s="14">
        <v>70214095</v>
      </c>
      <c r="F93" s="14" t="s">
        <v>481</v>
      </c>
      <c r="G93" s="14" t="s">
        <v>142</v>
      </c>
      <c r="H93" s="14"/>
      <c r="I93" s="20"/>
      <c r="J93" s="20"/>
      <c r="K93" s="20">
        <v>70213027</v>
      </c>
      <c r="L93" s="20" t="s">
        <v>80</v>
      </c>
      <c r="M93" s="20" t="b">
        <v>1</v>
      </c>
      <c r="N93" s="28" t="s">
        <v>2232</v>
      </c>
      <c r="O93" s="20" t="s">
        <v>482</v>
      </c>
      <c r="P93" s="20" t="s">
        <v>483</v>
      </c>
      <c r="Q93" s="20">
        <v>58.5</v>
      </c>
      <c r="R93" s="20" t="b">
        <v>0</v>
      </c>
    </row>
    <row r="94" spans="1:18" x14ac:dyDescent="0.35">
      <c r="A94" s="14">
        <v>535</v>
      </c>
      <c r="B94" s="14" t="s">
        <v>484</v>
      </c>
      <c r="C94" s="14">
        <v>611</v>
      </c>
      <c r="D94" s="14" t="s">
        <v>63</v>
      </c>
      <c r="E94" s="14">
        <v>70214044</v>
      </c>
      <c r="F94" s="14" t="s">
        <v>284</v>
      </c>
      <c r="G94" s="14" t="s">
        <v>285</v>
      </c>
      <c r="H94" s="14"/>
      <c r="I94" s="14"/>
      <c r="J94" s="14"/>
      <c r="K94" s="24">
        <v>70222017</v>
      </c>
      <c r="L94" s="15" t="s">
        <v>80</v>
      </c>
      <c r="M94" s="15" t="b">
        <v>1</v>
      </c>
      <c r="N94" s="15"/>
      <c r="O94" s="16" t="s">
        <v>485</v>
      </c>
      <c r="P94" s="16" t="s">
        <v>286</v>
      </c>
      <c r="Q94" s="16">
        <v>75</v>
      </c>
      <c r="R94" s="16" t="b">
        <v>0</v>
      </c>
    </row>
    <row r="95" spans="1:18" x14ac:dyDescent="0.35">
      <c r="A95" s="14">
        <v>383</v>
      </c>
      <c r="B95" s="14" t="s">
        <v>486</v>
      </c>
      <c r="C95" s="14">
        <v>602</v>
      </c>
      <c r="D95" s="14" t="s">
        <v>63</v>
      </c>
      <c r="E95" s="14">
        <v>70211195</v>
      </c>
      <c r="F95" s="14" t="s">
        <v>487</v>
      </c>
      <c r="G95" s="14" t="s">
        <v>157</v>
      </c>
      <c r="H95" s="14"/>
      <c r="I95" s="14"/>
      <c r="J95" s="14"/>
      <c r="K95" s="15">
        <v>70211195</v>
      </c>
      <c r="L95" s="15" t="s">
        <v>73</v>
      </c>
      <c r="M95" s="15" t="b">
        <v>1</v>
      </c>
      <c r="N95" s="15"/>
      <c r="O95" s="16" t="s">
        <v>488</v>
      </c>
      <c r="P95" s="16" t="s">
        <v>489</v>
      </c>
      <c r="Q95" s="16">
        <v>72</v>
      </c>
      <c r="R95" s="16" t="b">
        <v>1</v>
      </c>
    </row>
    <row r="96" spans="1:18" x14ac:dyDescent="0.35">
      <c r="A96" s="14">
        <v>267</v>
      </c>
      <c r="B96" s="14" t="s">
        <v>490</v>
      </c>
      <c r="C96" s="14">
        <v>591</v>
      </c>
      <c r="D96" s="14" t="s">
        <v>85</v>
      </c>
      <c r="E96" s="14">
        <v>70201032</v>
      </c>
      <c r="F96" s="14" t="s">
        <v>491</v>
      </c>
      <c r="G96" s="14" t="s">
        <v>185</v>
      </c>
      <c r="H96" s="14"/>
      <c r="I96" s="14"/>
      <c r="J96" s="14"/>
      <c r="K96" s="15">
        <v>70201032</v>
      </c>
      <c r="L96" s="15" t="s">
        <v>73</v>
      </c>
      <c r="M96" s="15" t="b">
        <v>1</v>
      </c>
      <c r="N96" s="15"/>
      <c r="O96" s="16" t="s">
        <v>251</v>
      </c>
      <c r="P96" s="16" t="s">
        <v>492</v>
      </c>
      <c r="Q96" s="16">
        <v>100</v>
      </c>
      <c r="R96" s="16" t="b">
        <v>0</v>
      </c>
    </row>
    <row r="97" spans="1:18" x14ac:dyDescent="0.35">
      <c r="A97" s="14">
        <v>496</v>
      </c>
      <c r="B97" s="14" t="s">
        <v>493</v>
      </c>
      <c r="C97" s="14">
        <v>560</v>
      </c>
      <c r="D97" s="14" t="s">
        <v>107</v>
      </c>
      <c r="E97" s="14">
        <v>70211064</v>
      </c>
      <c r="F97" s="14" t="s">
        <v>494</v>
      </c>
      <c r="G97" s="14" t="s">
        <v>79</v>
      </c>
      <c r="H97" s="14"/>
      <c r="I97" s="14"/>
      <c r="J97" s="14"/>
      <c r="K97" s="15"/>
      <c r="L97" s="15"/>
      <c r="M97" s="15" t="b">
        <v>0</v>
      </c>
      <c r="N97" s="15"/>
      <c r="O97" s="16" t="s">
        <v>495</v>
      </c>
      <c r="P97" s="16" t="s">
        <v>496</v>
      </c>
      <c r="Q97" s="16">
        <v>52.9</v>
      </c>
      <c r="R97" s="16" t="b">
        <v>1</v>
      </c>
    </row>
    <row r="98" spans="1:18" x14ac:dyDescent="0.35">
      <c r="A98" s="14">
        <v>3506</v>
      </c>
      <c r="B98" s="14" t="s">
        <v>497</v>
      </c>
      <c r="C98" s="14">
        <v>556</v>
      </c>
      <c r="D98" s="14" t="s">
        <v>63</v>
      </c>
      <c r="E98" s="14">
        <v>70201083</v>
      </c>
      <c r="F98" s="14" t="s">
        <v>498</v>
      </c>
      <c r="G98" s="14" t="s">
        <v>170</v>
      </c>
      <c r="H98" s="14"/>
      <c r="I98" s="14"/>
      <c r="J98" s="14"/>
      <c r="K98" s="15"/>
      <c r="L98" s="15"/>
      <c r="M98" s="15" t="b">
        <v>0</v>
      </c>
      <c r="N98" s="15"/>
      <c r="O98" s="16" t="s">
        <v>499</v>
      </c>
      <c r="P98" s="16" t="s">
        <v>500</v>
      </c>
      <c r="Q98" s="16">
        <v>66.7</v>
      </c>
      <c r="R98" s="16" t="b">
        <v>0</v>
      </c>
    </row>
    <row r="99" spans="1:18" x14ac:dyDescent="0.35">
      <c r="A99" s="14">
        <v>228</v>
      </c>
      <c r="B99" s="14" t="s">
        <v>501</v>
      </c>
      <c r="C99" s="14">
        <v>546</v>
      </c>
      <c r="D99" s="14" t="s">
        <v>85</v>
      </c>
      <c r="E99" s="14">
        <v>70208018</v>
      </c>
      <c r="F99" s="14" t="s">
        <v>502</v>
      </c>
      <c r="G99" s="14" t="s">
        <v>114</v>
      </c>
      <c r="H99" s="14"/>
      <c r="I99" s="14"/>
      <c r="J99" s="14"/>
      <c r="K99" s="24">
        <v>70208018</v>
      </c>
      <c r="L99" s="15" t="s">
        <v>73</v>
      </c>
      <c r="M99" s="15" t="b">
        <v>1</v>
      </c>
      <c r="N99" s="15"/>
      <c r="O99" s="16" t="s">
        <v>503</v>
      </c>
      <c r="P99" s="16" t="s">
        <v>504</v>
      </c>
      <c r="Q99" s="16">
        <v>100</v>
      </c>
      <c r="R99" s="16" t="b">
        <v>1</v>
      </c>
    </row>
    <row r="100" spans="1:18" x14ac:dyDescent="0.35">
      <c r="A100" s="14">
        <v>317</v>
      </c>
      <c r="B100" s="14" t="s">
        <v>505</v>
      </c>
      <c r="C100" s="14">
        <v>545</v>
      </c>
      <c r="D100" s="14" t="s">
        <v>107</v>
      </c>
      <c r="E100" s="14">
        <v>70212031</v>
      </c>
      <c r="F100" s="14" t="s">
        <v>506</v>
      </c>
      <c r="G100" s="14" t="s">
        <v>125</v>
      </c>
      <c r="H100" s="14"/>
      <c r="I100" s="14"/>
      <c r="J100" s="14"/>
      <c r="K100" s="15">
        <v>70212031</v>
      </c>
      <c r="L100" s="15" t="s">
        <v>73</v>
      </c>
      <c r="M100" s="15" t="b">
        <v>1</v>
      </c>
      <c r="N100" s="15"/>
      <c r="O100" s="16" t="s">
        <v>507</v>
      </c>
      <c r="P100" s="27" t="s">
        <v>508</v>
      </c>
      <c r="Q100" s="16">
        <v>62.5</v>
      </c>
      <c r="R100" s="16" t="b">
        <v>1</v>
      </c>
    </row>
    <row r="101" spans="1:18" x14ac:dyDescent="0.35">
      <c r="A101" s="14">
        <v>251</v>
      </c>
      <c r="B101" s="14" t="s">
        <v>509</v>
      </c>
      <c r="C101" s="14">
        <v>542</v>
      </c>
      <c r="D101" s="14" t="s">
        <v>63</v>
      </c>
      <c r="E101" s="14">
        <v>70201086</v>
      </c>
      <c r="F101" s="14" t="s">
        <v>510</v>
      </c>
      <c r="G101" s="14" t="s">
        <v>170</v>
      </c>
      <c r="H101" s="14"/>
      <c r="I101" s="14"/>
      <c r="J101" s="14"/>
      <c r="K101" s="15">
        <v>70201010</v>
      </c>
      <c r="L101" s="15" t="s">
        <v>73</v>
      </c>
      <c r="M101" s="15" t="b">
        <v>1</v>
      </c>
      <c r="N101" s="15"/>
      <c r="O101" s="16" t="s">
        <v>187</v>
      </c>
      <c r="P101" s="16" t="s">
        <v>511</v>
      </c>
      <c r="Q101" s="16">
        <v>80</v>
      </c>
      <c r="R101" s="16" t="b">
        <v>0</v>
      </c>
    </row>
    <row r="102" spans="1:18" x14ac:dyDescent="0.35">
      <c r="A102" s="14">
        <v>457</v>
      </c>
      <c r="B102" s="14" t="s">
        <v>512</v>
      </c>
      <c r="C102" s="14">
        <v>541</v>
      </c>
      <c r="D102" s="14" t="s">
        <v>63</v>
      </c>
      <c r="E102" s="14">
        <v>70211191</v>
      </c>
      <c r="F102" s="14" t="s">
        <v>513</v>
      </c>
      <c r="G102" s="14" t="s">
        <v>157</v>
      </c>
      <c r="H102" s="14"/>
      <c r="I102" s="14"/>
      <c r="J102" s="14"/>
      <c r="K102" s="15">
        <v>70211191</v>
      </c>
      <c r="L102" s="15" t="s">
        <v>80</v>
      </c>
      <c r="M102" s="15" t="b">
        <v>1</v>
      </c>
      <c r="N102" s="15"/>
      <c r="O102" s="16" t="s">
        <v>198</v>
      </c>
      <c r="P102" s="16" t="s">
        <v>514</v>
      </c>
      <c r="Q102" s="16">
        <v>71.2</v>
      </c>
      <c r="R102" s="16" t="b">
        <v>0</v>
      </c>
    </row>
    <row r="103" spans="1:18" x14ac:dyDescent="0.35">
      <c r="A103" s="14">
        <v>534</v>
      </c>
      <c r="B103" s="14" t="s">
        <v>515</v>
      </c>
      <c r="C103" s="14">
        <v>517</v>
      </c>
      <c r="D103" s="14" t="s">
        <v>85</v>
      </c>
      <c r="E103" s="14">
        <v>70222017</v>
      </c>
      <c r="F103" s="14" t="s">
        <v>516</v>
      </c>
      <c r="G103" s="14" t="s">
        <v>79</v>
      </c>
      <c r="H103" s="14"/>
      <c r="I103" s="14"/>
      <c r="J103" s="14"/>
      <c r="K103" s="24">
        <v>70222017</v>
      </c>
      <c r="L103" s="15" t="s">
        <v>73</v>
      </c>
      <c r="M103" s="15" t="b">
        <v>1</v>
      </c>
      <c r="N103" s="15"/>
      <c r="O103" s="16" t="s">
        <v>485</v>
      </c>
      <c r="P103" s="16" t="s">
        <v>517</v>
      </c>
      <c r="Q103" s="16">
        <v>100</v>
      </c>
      <c r="R103" s="16" t="b">
        <v>1</v>
      </c>
    </row>
    <row r="104" spans="1:18" s="21" customFormat="1" x14ac:dyDescent="0.35">
      <c r="A104" s="14">
        <v>263</v>
      </c>
      <c r="B104" s="20" t="s">
        <v>518</v>
      </c>
      <c r="C104" s="20">
        <v>502</v>
      </c>
      <c r="D104" s="20" t="s">
        <v>63</v>
      </c>
      <c r="E104" s="14">
        <v>70201023</v>
      </c>
      <c r="F104" s="14" t="s">
        <v>271</v>
      </c>
      <c r="G104" s="14" t="s">
        <v>185</v>
      </c>
      <c r="H104" s="14"/>
      <c r="I104" s="20"/>
      <c r="J104" s="20"/>
      <c r="K104" s="20">
        <v>70201029</v>
      </c>
      <c r="L104" s="20" t="s">
        <v>80</v>
      </c>
      <c r="M104" s="20" t="b">
        <v>1</v>
      </c>
      <c r="N104" s="20"/>
      <c r="O104" s="20" t="s">
        <v>251</v>
      </c>
      <c r="P104" s="20" t="s">
        <v>272</v>
      </c>
      <c r="Q104" s="20">
        <v>83.3</v>
      </c>
      <c r="R104" s="20" t="b">
        <v>0</v>
      </c>
    </row>
    <row r="105" spans="1:18" x14ac:dyDescent="0.35">
      <c r="A105" s="14">
        <v>86</v>
      </c>
      <c r="B105" s="14" t="s">
        <v>519</v>
      </c>
      <c r="C105" s="14">
        <v>496</v>
      </c>
      <c r="D105" s="14" t="s">
        <v>107</v>
      </c>
      <c r="E105" s="14">
        <v>70208065</v>
      </c>
      <c r="F105" s="14" t="s">
        <v>520</v>
      </c>
      <c r="G105" s="14" t="s">
        <v>114</v>
      </c>
      <c r="H105" s="14"/>
      <c r="I105" s="14"/>
      <c r="J105" s="14"/>
      <c r="K105" s="15">
        <v>70213061</v>
      </c>
      <c r="L105" s="15" t="s">
        <v>80</v>
      </c>
      <c r="M105" s="15" t="b">
        <v>1</v>
      </c>
      <c r="N105" s="15"/>
      <c r="O105" s="16" t="s">
        <v>521</v>
      </c>
      <c r="P105" s="16" t="s">
        <v>522</v>
      </c>
      <c r="Q105" s="16">
        <v>48</v>
      </c>
      <c r="R105" s="16" t="b">
        <v>1</v>
      </c>
    </row>
    <row r="106" spans="1:18" x14ac:dyDescent="0.35">
      <c r="A106" s="14">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x14ac:dyDescent="0.35">
      <c r="A107" s="14">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x14ac:dyDescent="0.35">
      <c r="A108" s="14">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x14ac:dyDescent="0.35">
      <c r="A109" s="14">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x14ac:dyDescent="0.35">
      <c r="A110" s="14">
        <v>374</v>
      </c>
      <c r="B110" s="14" t="s">
        <v>537</v>
      </c>
      <c r="C110" s="14">
        <v>400</v>
      </c>
      <c r="D110" s="14" t="s">
        <v>63</v>
      </c>
      <c r="E110" s="14">
        <v>70212040</v>
      </c>
      <c r="F110" s="14" t="s">
        <v>538</v>
      </c>
      <c r="G110" s="14" t="s">
        <v>125</v>
      </c>
      <c r="H110" s="14"/>
      <c r="I110" s="14"/>
      <c r="J110" s="14"/>
      <c r="K110" s="15">
        <v>70211088</v>
      </c>
      <c r="L110" s="15" t="s">
        <v>73</v>
      </c>
      <c r="M110" s="15" t="b">
        <v>1</v>
      </c>
      <c r="N110" s="23" t="s">
        <v>2229</v>
      </c>
      <c r="O110" s="16" t="s">
        <v>392</v>
      </c>
      <c r="P110" s="16" t="s">
        <v>539</v>
      </c>
      <c r="Q110" s="16">
        <v>67.900000000000006</v>
      </c>
      <c r="R110" s="16" t="b">
        <v>0</v>
      </c>
    </row>
    <row r="111" spans="1:18" x14ac:dyDescent="0.35">
      <c r="A111" s="14">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x14ac:dyDescent="0.35">
      <c r="A112" s="14">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x14ac:dyDescent="0.35">
      <c r="A113" s="14">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x14ac:dyDescent="0.35">
      <c r="A114" s="14">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x14ac:dyDescent="0.35">
      <c r="A115" s="14">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x14ac:dyDescent="0.35">
      <c r="A116" s="14">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x14ac:dyDescent="0.35">
      <c r="A117" s="14">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x14ac:dyDescent="0.35">
      <c r="A118" s="14">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x14ac:dyDescent="0.35">
      <c r="A119" s="14">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x14ac:dyDescent="0.35">
      <c r="A120" s="14">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x14ac:dyDescent="0.35">
      <c r="A121" s="14">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x14ac:dyDescent="0.35">
      <c r="A122" s="14">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x14ac:dyDescent="0.35">
      <c r="A123" s="14">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x14ac:dyDescent="0.35">
      <c r="A124" s="14">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x14ac:dyDescent="0.35">
      <c r="A125" s="14">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x14ac:dyDescent="0.35">
      <c r="A126" s="14">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x14ac:dyDescent="0.35">
      <c r="A127" s="14">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x14ac:dyDescent="0.35">
      <c r="A128" s="14">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x14ac:dyDescent="0.35">
      <c r="A129" s="14">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x14ac:dyDescent="0.35">
      <c r="A130" s="14">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x14ac:dyDescent="0.35">
      <c r="A131" s="14">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x14ac:dyDescent="0.35">
      <c r="A132" s="14">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x14ac:dyDescent="0.35">
      <c r="A133" s="14">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14">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t="88.5" x14ac:dyDescent="0.35">
      <c r="A135" s="14">
        <v>2551</v>
      </c>
      <c r="B135" s="14" t="s">
        <v>619</v>
      </c>
      <c r="C135" s="14">
        <v>238</v>
      </c>
      <c r="D135" s="14" t="s">
        <v>63</v>
      </c>
      <c r="E135" s="14">
        <v>70212021</v>
      </c>
      <c r="F135" s="14" t="s">
        <v>620</v>
      </c>
      <c r="G135" s="14" t="s">
        <v>170</v>
      </c>
      <c r="H135" s="14"/>
      <c r="I135" s="14"/>
      <c r="J135" s="14"/>
      <c r="K135" s="15">
        <v>70209063</v>
      </c>
      <c r="L135" s="15" t="s">
        <v>80</v>
      </c>
      <c r="M135" s="15" t="b">
        <v>1</v>
      </c>
      <c r="N135" s="25" t="s">
        <v>2230</v>
      </c>
      <c r="O135" s="16" t="s">
        <v>392</v>
      </c>
      <c r="P135" s="16" t="s">
        <v>621</v>
      </c>
      <c r="Q135" s="16">
        <v>66.7</v>
      </c>
      <c r="R135" s="16" t="b">
        <v>0</v>
      </c>
    </row>
    <row r="136" spans="1:18" x14ac:dyDescent="0.35">
      <c r="A136" s="14">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x14ac:dyDescent="0.35">
      <c r="A137" s="14">
        <v>4413</v>
      </c>
      <c r="B137" s="14" t="s">
        <v>623</v>
      </c>
      <c r="C137" s="14">
        <v>230</v>
      </c>
      <c r="D137" s="14" t="s">
        <v>85</v>
      </c>
      <c r="E137" s="14">
        <v>70209038</v>
      </c>
      <c r="F137" s="14" t="s">
        <v>624</v>
      </c>
      <c r="G137" s="14" t="s">
        <v>170</v>
      </c>
      <c r="H137" s="14"/>
      <c r="I137" s="14"/>
      <c r="J137" s="14"/>
      <c r="K137" s="15">
        <v>70211110</v>
      </c>
      <c r="L137" s="15" t="s">
        <v>80</v>
      </c>
      <c r="M137" s="15" t="b">
        <v>1</v>
      </c>
      <c r="N137" s="15"/>
      <c r="O137" s="16" t="s">
        <v>383</v>
      </c>
      <c r="P137" s="16" t="s">
        <v>625</v>
      </c>
      <c r="Q137" s="16">
        <v>85.7</v>
      </c>
      <c r="R137" s="16" t="b">
        <v>0</v>
      </c>
    </row>
    <row r="138" spans="1:18" x14ac:dyDescent="0.35">
      <c r="A138" s="14">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x14ac:dyDescent="0.35">
      <c r="A139" s="14">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x14ac:dyDescent="0.35">
      <c r="A140" s="14">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x14ac:dyDescent="0.35">
      <c r="A141" s="14">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x14ac:dyDescent="0.35">
      <c r="A142" s="14">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x14ac:dyDescent="0.35">
      <c r="A143" s="14">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x14ac:dyDescent="0.35">
      <c r="A144" s="14">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x14ac:dyDescent="0.35">
      <c r="A145" s="14">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x14ac:dyDescent="0.35">
      <c r="A146" s="14">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x14ac:dyDescent="0.35">
      <c r="A147" s="14">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x14ac:dyDescent="0.35">
      <c r="A148" s="14">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x14ac:dyDescent="0.35">
      <c r="A149" s="14">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x14ac:dyDescent="0.35">
      <c r="A150" s="14">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x14ac:dyDescent="0.35">
      <c r="A151" s="14">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x14ac:dyDescent="0.35">
      <c r="A152" s="14">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x14ac:dyDescent="0.35">
      <c r="A153" s="14">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x14ac:dyDescent="0.35">
      <c r="A154" s="14">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x14ac:dyDescent="0.35">
      <c r="A155" s="14">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x14ac:dyDescent="0.35">
      <c r="A156" s="14">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x14ac:dyDescent="0.35">
      <c r="A157" s="14">
        <v>375</v>
      </c>
      <c r="B157" s="14" t="s">
        <v>689</v>
      </c>
      <c r="C157" s="14">
        <v>160</v>
      </c>
      <c r="D157" s="14" t="s">
        <v>107</v>
      </c>
      <c r="E157" s="14">
        <v>70208075</v>
      </c>
      <c r="F157" s="14" t="s">
        <v>690</v>
      </c>
      <c r="G157" s="14" t="s">
        <v>114</v>
      </c>
      <c r="H157" s="14"/>
      <c r="I157" s="14"/>
      <c r="J157" s="14"/>
      <c r="K157" s="15">
        <v>70209024</v>
      </c>
      <c r="L157" s="15" t="s">
        <v>73</v>
      </c>
      <c r="M157" s="15" t="b">
        <v>1</v>
      </c>
      <c r="N157" s="15"/>
      <c r="O157" s="16" t="s">
        <v>392</v>
      </c>
      <c r="P157" s="16" t="s">
        <v>691</v>
      </c>
      <c r="Q157" s="16">
        <v>61.1</v>
      </c>
      <c r="R157" s="16" t="b">
        <v>1</v>
      </c>
    </row>
    <row r="158" spans="1:18" x14ac:dyDescent="0.35">
      <c r="A158" s="14">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x14ac:dyDescent="0.35">
      <c r="A159" s="14">
        <v>247</v>
      </c>
      <c r="B159" s="14" t="s">
        <v>696</v>
      </c>
      <c r="C159" s="14">
        <v>156</v>
      </c>
      <c r="D159" s="14" t="s">
        <v>63</v>
      </c>
      <c r="E159" s="14">
        <v>70201103</v>
      </c>
      <c r="F159" s="14" t="s">
        <v>184</v>
      </c>
      <c r="G159" s="14" t="s">
        <v>185</v>
      </c>
      <c r="H159" s="14"/>
      <c r="I159" s="14"/>
      <c r="J159" s="14"/>
      <c r="K159" s="15">
        <v>70201103</v>
      </c>
      <c r="L159" s="15" t="s">
        <v>73</v>
      </c>
      <c r="M159" s="15" t="b">
        <v>1</v>
      </c>
      <c r="N159" s="15"/>
      <c r="O159" s="16" t="s">
        <v>187</v>
      </c>
      <c r="P159" s="16" t="s">
        <v>188</v>
      </c>
      <c r="Q159" s="16">
        <v>80</v>
      </c>
      <c r="R159" s="16" t="b">
        <v>0</v>
      </c>
    </row>
    <row r="160" spans="1:18" x14ac:dyDescent="0.35">
      <c r="A160" s="14">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x14ac:dyDescent="0.35">
      <c r="A161" s="14">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x14ac:dyDescent="0.35">
      <c r="A162" s="14">
        <v>658</v>
      </c>
      <c r="B162" s="14" t="s">
        <v>703</v>
      </c>
      <c r="C162" s="14">
        <v>148</v>
      </c>
      <c r="D162" s="14" t="s">
        <v>107</v>
      </c>
      <c r="E162" s="14">
        <v>70212021</v>
      </c>
      <c r="F162" s="14" t="s">
        <v>620</v>
      </c>
      <c r="G162" s="14" t="s">
        <v>170</v>
      </c>
      <c r="H162" s="14" t="s">
        <v>458</v>
      </c>
      <c r="I162" s="14"/>
      <c r="J162" s="14" t="s">
        <v>459</v>
      </c>
      <c r="K162" s="14"/>
      <c r="L162" s="14" t="s">
        <v>458</v>
      </c>
      <c r="M162" s="14" t="b">
        <v>1</v>
      </c>
      <c r="N162" s="14"/>
      <c r="O162" s="14" t="s">
        <v>704</v>
      </c>
      <c r="P162" s="14" t="s">
        <v>621</v>
      </c>
      <c r="Q162" s="14">
        <v>60</v>
      </c>
      <c r="R162" s="14" t="b">
        <v>0</v>
      </c>
    </row>
    <row r="163" spans="1:18" x14ac:dyDescent="0.35">
      <c r="A163" s="14">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x14ac:dyDescent="0.35">
      <c r="A164" s="14">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x14ac:dyDescent="0.35">
      <c r="A165" s="14">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x14ac:dyDescent="0.35">
      <c r="A166" s="14">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x14ac:dyDescent="0.35">
      <c r="A167" s="14">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x14ac:dyDescent="0.35">
      <c r="A168" s="14">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x14ac:dyDescent="0.35">
      <c r="A169" s="14">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x14ac:dyDescent="0.35">
      <c r="A170" s="14">
        <v>282</v>
      </c>
      <c r="B170" s="14" t="s">
        <v>725</v>
      </c>
      <c r="C170" s="14">
        <v>136</v>
      </c>
      <c r="D170" s="14" t="s">
        <v>85</v>
      </c>
      <c r="E170" s="14">
        <v>70201083</v>
      </c>
      <c r="F170" s="14" t="s">
        <v>498</v>
      </c>
      <c r="G170" s="14" t="s">
        <v>170</v>
      </c>
      <c r="H170" s="14"/>
      <c r="I170" s="14"/>
      <c r="J170" s="14"/>
      <c r="K170" s="15">
        <v>70201083</v>
      </c>
      <c r="L170" s="15" t="s">
        <v>73</v>
      </c>
      <c r="M170" s="15" t="b">
        <v>1</v>
      </c>
      <c r="N170" s="15"/>
      <c r="O170" s="16" t="s">
        <v>187</v>
      </c>
      <c r="P170" s="16" t="s">
        <v>500</v>
      </c>
      <c r="Q170" s="16">
        <v>100</v>
      </c>
      <c r="R170" s="16" t="b">
        <v>0</v>
      </c>
    </row>
    <row r="171" spans="1:18" x14ac:dyDescent="0.35">
      <c r="A171" s="14">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x14ac:dyDescent="0.35">
      <c r="A172" s="14">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x14ac:dyDescent="0.35">
      <c r="A173" s="14">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x14ac:dyDescent="0.35">
      <c r="A174" s="14">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x14ac:dyDescent="0.35">
      <c r="A175" s="14">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x14ac:dyDescent="0.35">
      <c r="A176" s="14">
        <v>507</v>
      </c>
      <c r="B176" s="14" t="s">
        <v>745</v>
      </c>
      <c r="C176" s="14">
        <v>123</v>
      </c>
      <c r="D176" s="14" t="s">
        <v>63</v>
      </c>
      <c r="E176" s="14">
        <v>70211201</v>
      </c>
      <c r="F176" s="14" t="s">
        <v>746</v>
      </c>
      <c r="G176" s="14" t="s">
        <v>72</v>
      </c>
      <c r="H176" s="14"/>
      <c r="I176" s="14"/>
      <c r="J176" s="14"/>
      <c r="K176" s="15">
        <v>70211110</v>
      </c>
      <c r="L176" s="15" t="s">
        <v>80</v>
      </c>
      <c r="M176" s="15" t="b">
        <v>1</v>
      </c>
      <c r="N176" s="15"/>
      <c r="O176" s="16" t="s">
        <v>383</v>
      </c>
      <c r="P176" s="16" t="s">
        <v>747</v>
      </c>
      <c r="Q176" s="16">
        <v>75</v>
      </c>
      <c r="R176" s="16" t="b">
        <v>1</v>
      </c>
    </row>
    <row r="177" spans="1:18" x14ac:dyDescent="0.35">
      <c r="A177" s="14">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x14ac:dyDescent="0.35">
      <c r="A178" s="14">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x14ac:dyDescent="0.35">
      <c r="A179" s="14">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x14ac:dyDescent="0.35">
      <c r="A180" s="14">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x14ac:dyDescent="0.35">
      <c r="A181" s="14">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x14ac:dyDescent="0.35">
      <c r="A182" s="14">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x14ac:dyDescent="0.35">
      <c r="A183" s="14">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x14ac:dyDescent="0.35">
      <c r="A184" s="14">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x14ac:dyDescent="0.35">
      <c r="A185" s="14">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x14ac:dyDescent="0.35">
      <c r="A186" s="14">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x14ac:dyDescent="0.35">
      <c r="A187" s="14">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x14ac:dyDescent="0.35">
      <c r="A188" s="14">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x14ac:dyDescent="0.35">
      <c r="A189" s="14">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x14ac:dyDescent="0.35">
      <c r="A190" s="14">
        <v>255</v>
      </c>
      <c r="B190" s="14" t="s">
        <v>784</v>
      </c>
      <c r="C190" s="14">
        <v>91</v>
      </c>
      <c r="D190" s="14" t="s">
        <v>85</v>
      </c>
      <c r="E190" s="14">
        <v>70201009</v>
      </c>
      <c r="F190" s="14" t="s">
        <v>785</v>
      </c>
      <c r="G190" s="14" t="s">
        <v>185</v>
      </c>
      <c r="H190" s="14"/>
      <c r="I190" s="14"/>
      <c r="J190" s="14"/>
      <c r="K190" s="15">
        <v>70201009</v>
      </c>
      <c r="L190" s="15" t="s">
        <v>73</v>
      </c>
      <c r="M190" s="15" t="b">
        <v>1</v>
      </c>
      <c r="N190" s="15"/>
      <c r="O190" s="16" t="s">
        <v>187</v>
      </c>
      <c r="P190" s="16" t="s">
        <v>786</v>
      </c>
      <c r="Q190" s="16">
        <v>100</v>
      </c>
      <c r="R190" s="16" t="b">
        <v>1</v>
      </c>
    </row>
    <row r="191" spans="1:18" x14ac:dyDescent="0.35">
      <c r="A191" s="14">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x14ac:dyDescent="0.35">
      <c r="A192" s="14">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x14ac:dyDescent="0.35">
      <c r="A193" s="14">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x14ac:dyDescent="0.35">
      <c r="A194" s="14">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x14ac:dyDescent="0.35">
      <c r="A195" s="14">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x14ac:dyDescent="0.35">
      <c r="A196" s="14">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x14ac:dyDescent="0.35">
      <c r="A197" s="14">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x14ac:dyDescent="0.35">
      <c r="A198" s="14">
        <v>443</v>
      </c>
      <c r="B198" s="14" t="s">
        <v>804</v>
      </c>
      <c r="C198" s="14">
        <v>82</v>
      </c>
      <c r="D198" s="14" t="s">
        <v>63</v>
      </c>
      <c r="E198" s="14">
        <v>70208051</v>
      </c>
      <c r="F198" s="14" t="s">
        <v>805</v>
      </c>
      <c r="G198" s="14" t="s">
        <v>114</v>
      </c>
      <c r="H198" s="14"/>
      <c r="I198" s="14"/>
      <c r="J198" s="14"/>
      <c r="K198" s="15">
        <v>70209049</v>
      </c>
      <c r="L198" s="15" t="s">
        <v>80</v>
      </c>
      <c r="M198" s="15" t="b">
        <v>1</v>
      </c>
      <c r="N198" s="15"/>
      <c r="O198" s="16" t="s">
        <v>203</v>
      </c>
      <c r="P198" s="16" t="s">
        <v>806</v>
      </c>
      <c r="Q198" s="16">
        <v>69.2</v>
      </c>
      <c r="R198" s="16" t="b">
        <v>0</v>
      </c>
    </row>
    <row r="199" spans="1:18" x14ac:dyDescent="0.35">
      <c r="A199" s="14">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x14ac:dyDescent="0.35">
      <c r="A200" s="14">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x14ac:dyDescent="0.35">
      <c r="A201" s="14">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x14ac:dyDescent="0.35">
      <c r="A202" s="14">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x14ac:dyDescent="0.35">
      <c r="A203" s="14">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x14ac:dyDescent="0.35">
      <c r="A204" s="14">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x14ac:dyDescent="0.35">
      <c r="A205" s="14">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x14ac:dyDescent="0.35">
      <c r="A206" s="14">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x14ac:dyDescent="0.35">
      <c r="A207" s="14">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x14ac:dyDescent="0.35">
      <c r="A208" s="14">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x14ac:dyDescent="0.35">
      <c r="A209" s="14">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x14ac:dyDescent="0.35">
      <c r="A210" s="14">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x14ac:dyDescent="0.35">
      <c r="A211" s="14">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x14ac:dyDescent="0.35">
      <c r="A212" s="14">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x14ac:dyDescent="0.35">
      <c r="A213" s="14">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x14ac:dyDescent="0.35">
      <c r="A214" s="14">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x14ac:dyDescent="0.35">
      <c r="A215" s="14">
        <v>366</v>
      </c>
      <c r="B215" s="14" t="s">
        <v>852</v>
      </c>
      <c r="C215" s="14">
        <v>73</v>
      </c>
      <c r="D215" s="14" t="s">
        <v>63</v>
      </c>
      <c r="E215" s="14">
        <v>70211255</v>
      </c>
      <c r="F215" s="14" t="s">
        <v>201</v>
      </c>
      <c r="G215" s="14" t="s">
        <v>72</v>
      </c>
      <c r="H215" s="14"/>
      <c r="I215" s="14"/>
      <c r="J215" s="14"/>
      <c r="K215" s="15">
        <v>70209003</v>
      </c>
      <c r="L215" s="15" t="s">
        <v>73</v>
      </c>
      <c r="M215" s="15" t="b">
        <v>1</v>
      </c>
      <c r="N215" s="15"/>
      <c r="O215" s="16" t="s">
        <v>203</v>
      </c>
      <c r="P215" s="16" t="s">
        <v>204</v>
      </c>
      <c r="Q215" s="16">
        <v>72</v>
      </c>
      <c r="R215" s="16" t="b">
        <v>0</v>
      </c>
    </row>
    <row r="216" spans="1:18" x14ac:dyDescent="0.35">
      <c r="A216" s="14">
        <v>83</v>
      </c>
      <c r="B216" s="14" t="s">
        <v>853</v>
      </c>
      <c r="C216" s="14">
        <v>73</v>
      </c>
      <c r="D216" s="14" t="s">
        <v>85</v>
      </c>
      <c r="E216" s="14">
        <v>70213163</v>
      </c>
      <c r="F216" s="14" t="s">
        <v>854</v>
      </c>
      <c r="G216" s="14" t="s">
        <v>87</v>
      </c>
      <c r="H216" s="14"/>
      <c r="I216" s="14"/>
      <c r="J216" s="14"/>
      <c r="K216" s="15">
        <v>70213050</v>
      </c>
      <c r="L216" s="15" t="s">
        <v>73</v>
      </c>
      <c r="M216" s="15" t="b">
        <v>1</v>
      </c>
      <c r="N216" s="15"/>
      <c r="O216" s="16" t="s">
        <v>397</v>
      </c>
      <c r="P216" s="16" t="s">
        <v>855</v>
      </c>
      <c r="Q216" s="16">
        <v>100</v>
      </c>
      <c r="R216" s="16" t="b">
        <v>0</v>
      </c>
    </row>
    <row r="217" spans="1:18" x14ac:dyDescent="0.35">
      <c r="A217" s="14">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x14ac:dyDescent="0.35">
      <c r="A218" s="14">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x14ac:dyDescent="0.35">
      <c r="A219" s="14">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x14ac:dyDescent="0.35">
      <c r="A220" s="14">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x14ac:dyDescent="0.35">
      <c r="A221" s="14">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x14ac:dyDescent="0.35">
      <c r="A222" s="14">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x14ac:dyDescent="0.35">
      <c r="A223" s="14">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x14ac:dyDescent="0.35">
      <c r="A224" s="14">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x14ac:dyDescent="0.35">
      <c r="A225" s="14">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x14ac:dyDescent="0.35">
      <c r="A226" s="14">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x14ac:dyDescent="0.35">
      <c r="A227" s="14">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x14ac:dyDescent="0.35">
      <c r="A228" s="14">
        <v>245</v>
      </c>
      <c r="B228" s="14" t="s">
        <v>888</v>
      </c>
      <c r="C228" s="14">
        <v>63</v>
      </c>
      <c r="D228" s="14" t="s">
        <v>63</v>
      </c>
      <c r="E228" s="14">
        <v>70201008</v>
      </c>
      <c r="F228" s="14" t="s">
        <v>889</v>
      </c>
      <c r="G228" s="14" t="s">
        <v>185</v>
      </c>
      <c r="H228" s="14"/>
      <c r="I228" s="14"/>
      <c r="J228" s="14"/>
      <c r="K228" s="15">
        <v>70201008</v>
      </c>
      <c r="L228" s="15" t="s">
        <v>80</v>
      </c>
      <c r="M228" s="15" t="b">
        <v>1</v>
      </c>
      <c r="N228" s="15"/>
      <c r="O228" s="16" t="s">
        <v>187</v>
      </c>
      <c r="P228" s="16" t="s">
        <v>890</v>
      </c>
      <c r="Q228" s="16">
        <v>77.3</v>
      </c>
      <c r="R228" s="16" t="b">
        <v>0</v>
      </c>
    </row>
    <row r="229" spans="1:18" x14ac:dyDescent="0.35">
      <c r="A229" s="14">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x14ac:dyDescent="0.35">
      <c r="A230" s="14">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x14ac:dyDescent="0.35">
      <c r="A231" s="14">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x14ac:dyDescent="0.35">
      <c r="A232" s="14">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x14ac:dyDescent="0.35">
      <c r="A233" s="14">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x14ac:dyDescent="0.35">
      <c r="A234" s="14">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x14ac:dyDescent="0.35">
      <c r="A235" s="14">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x14ac:dyDescent="0.35">
      <c r="A236" s="14">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x14ac:dyDescent="0.35">
      <c r="A237" s="14">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x14ac:dyDescent="0.35">
      <c r="A238" s="14">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x14ac:dyDescent="0.35">
      <c r="A239" s="14">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x14ac:dyDescent="0.35">
      <c r="A240" s="14">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x14ac:dyDescent="0.35">
      <c r="A241" s="14">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x14ac:dyDescent="0.35">
      <c r="A242" s="14">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x14ac:dyDescent="0.35">
      <c r="A243" s="14">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x14ac:dyDescent="0.35">
      <c r="A244" s="14">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x14ac:dyDescent="0.35">
      <c r="A245" s="14">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x14ac:dyDescent="0.35">
      <c r="A246" s="14">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x14ac:dyDescent="0.35">
      <c r="A247" s="14">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x14ac:dyDescent="0.35">
      <c r="A248" s="14">
        <v>370</v>
      </c>
      <c r="B248" s="14" t="s">
        <v>948</v>
      </c>
      <c r="C248" s="14">
        <v>50</v>
      </c>
      <c r="D248" s="14" t="s">
        <v>85</v>
      </c>
      <c r="E248" s="14">
        <v>70211254</v>
      </c>
      <c r="F248" s="14" t="s">
        <v>210</v>
      </c>
      <c r="G248" s="14" t="s">
        <v>72</v>
      </c>
      <c r="H248" s="14"/>
      <c r="I248" s="14"/>
      <c r="J248" s="14"/>
      <c r="K248" s="15">
        <v>70211254</v>
      </c>
      <c r="L248" s="15" t="s">
        <v>80</v>
      </c>
      <c r="M248" s="15" t="b">
        <v>1</v>
      </c>
      <c r="N248" s="15"/>
      <c r="O248" s="16" t="s">
        <v>203</v>
      </c>
      <c r="P248" s="16" t="s">
        <v>213</v>
      </c>
      <c r="Q248" s="16">
        <v>100</v>
      </c>
      <c r="R248" s="16" t="b">
        <v>1</v>
      </c>
    </row>
    <row r="249" spans="1:18" x14ac:dyDescent="0.35">
      <c r="A249" s="14">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x14ac:dyDescent="0.35">
      <c r="A250" s="14">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x14ac:dyDescent="0.35">
      <c r="A251" s="14">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x14ac:dyDescent="0.35">
      <c r="A252" s="14">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x14ac:dyDescent="0.35">
      <c r="A253" s="14">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x14ac:dyDescent="0.35">
      <c r="A254" s="14">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x14ac:dyDescent="0.35">
      <c r="A255" s="14">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x14ac:dyDescent="0.35">
      <c r="A256" s="14">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x14ac:dyDescent="0.35">
      <c r="A257" s="14">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x14ac:dyDescent="0.35">
      <c r="A258" s="14">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x14ac:dyDescent="0.35">
      <c r="A259" s="14">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x14ac:dyDescent="0.35">
      <c r="A260" s="14">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x14ac:dyDescent="0.35">
      <c r="A261" s="14">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x14ac:dyDescent="0.35">
      <c r="A262" s="14">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x14ac:dyDescent="0.35">
      <c r="A263" s="14">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x14ac:dyDescent="0.35">
      <c r="A264" s="14">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x14ac:dyDescent="0.35">
      <c r="A265" s="14">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x14ac:dyDescent="0.35">
      <c r="A266" s="14">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x14ac:dyDescent="0.35">
      <c r="A267" s="14">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x14ac:dyDescent="0.35">
      <c r="A268" s="14">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x14ac:dyDescent="0.35">
      <c r="A269" s="14">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x14ac:dyDescent="0.35">
      <c r="A270" s="14">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x14ac:dyDescent="0.35">
      <c r="A271" s="14">
        <v>84</v>
      </c>
      <c r="B271" s="14" t="s">
        <v>1019</v>
      </c>
      <c r="C271" s="14">
        <v>41</v>
      </c>
      <c r="D271" s="14" t="s">
        <v>107</v>
      </c>
      <c r="E271" s="14">
        <v>70214069</v>
      </c>
      <c r="F271" s="14" t="s">
        <v>1020</v>
      </c>
      <c r="G271" s="14" t="s">
        <v>87</v>
      </c>
      <c r="H271" s="14"/>
      <c r="I271" s="14"/>
      <c r="J271" s="14"/>
      <c r="K271" s="15">
        <v>70213163</v>
      </c>
      <c r="L271" s="15" t="s">
        <v>73</v>
      </c>
      <c r="M271" s="15" t="b">
        <v>1</v>
      </c>
      <c r="N271" s="15"/>
      <c r="O271" s="16" t="s">
        <v>397</v>
      </c>
      <c r="P271" s="16" t="s">
        <v>1021</v>
      </c>
      <c r="Q271" s="16">
        <v>63</v>
      </c>
      <c r="R271" s="16" t="b">
        <v>0</v>
      </c>
    </row>
    <row r="272" spans="1:18" x14ac:dyDescent="0.35">
      <c r="A272" s="14">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x14ac:dyDescent="0.35">
      <c r="A273" s="14">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x14ac:dyDescent="0.35">
      <c r="A274" s="14">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x14ac:dyDescent="0.35">
      <c r="A275" s="14">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x14ac:dyDescent="0.35">
      <c r="A276" s="14">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x14ac:dyDescent="0.35">
      <c r="A277" s="14">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x14ac:dyDescent="0.35">
      <c r="A278" s="14">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x14ac:dyDescent="0.35">
      <c r="A279" s="14">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x14ac:dyDescent="0.35">
      <c r="A280" s="14">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x14ac:dyDescent="0.35">
      <c r="A281" s="14">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x14ac:dyDescent="0.35">
      <c r="A282" s="14">
        <v>442</v>
      </c>
      <c r="B282" s="14" t="s">
        <v>1052</v>
      </c>
      <c r="C282" s="14">
        <v>34</v>
      </c>
      <c r="D282" s="14" t="s">
        <v>63</v>
      </c>
      <c r="E282" s="14">
        <v>70211255</v>
      </c>
      <c r="F282" s="14" t="s">
        <v>201</v>
      </c>
      <c r="G282" s="14" t="s">
        <v>72</v>
      </c>
      <c r="H282" s="14"/>
      <c r="I282" s="14"/>
      <c r="J282" s="14"/>
      <c r="K282" s="15">
        <v>70209058</v>
      </c>
      <c r="L282" s="15" t="s">
        <v>80</v>
      </c>
      <c r="M282" s="15" t="b">
        <v>1</v>
      </c>
      <c r="N282" s="15"/>
      <c r="O282" s="16" t="s">
        <v>203</v>
      </c>
      <c r="P282" s="16" t="s">
        <v>204</v>
      </c>
      <c r="Q282" s="16">
        <v>71.7</v>
      </c>
      <c r="R282" s="16" t="b">
        <v>0</v>
      </c>
    </row>
    <row r="283" spans="1:18" x14ac:dyDescent="0.35">
      <c r="A283" s="14">
        <v>281</v>
      </c>
      <c r="B283" s="14" t="s">
        <v>1053</v>
      </c>
      <c r="C283" s="14">
        <v>34</v>
      </c>
      <c r="D283" s="14" t="s">
        <v>85</v>
      </c>
      <c r="E283" s="14">
        <v>70201086</v>
      </c>
      <c r="F283" s="14" t="s">
        <v>510</v>
      </c>
      <c r="G283" s="14" t="s">
        <v>170</v>
      </c>
      <c r="H283" s="14"/>
      <c r="I283" s="14"/>
      <c r="J283" s="14"/>
      <c r="K283" s="15">
        <v>70201086</v>
      </c>
      <c r="L283" s="15" t="s">
        <v>73</v>
      </c>
      <c r="M283" s="15" t="b">
        <v>1</v>
      </c>
      <c r="N283" s="15"/>
      <c r="O283" s="16" t="s">
        <v>187</v>
      </c>
      <c r="P283" s="16" t="s">
        <v>511</v>
      </c>
      <c r="Q283" s="16">
        <v>100</v>
      </c>
      <c r="R283" s="16" t="b">
        <v>0</v>
      </c>
    </row>
    <row r="284" spans="1:18" x14ac:dyDescent="0.35">
      <c r="A284" s="14">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x14ac:dyDescent="0.35">
      <c r="A285" s="14">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x14ac:dyDescent="0.35">
      <c r="A286" s="14">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x14ac:dyDescent="0.35">
      <c r="A287" s="14">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x14ac:dyDescent="0.35">
      <c r="A288" s="14">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x14ac:dyDescent="0.35">
      <c r="A289" s="14">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x14ac:dyDescent="0.35">
      <c r="A290" s="14">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x14ac:dyDescent="0.35">
      <c r="A291" s="14">
        <v>264</v>
      </c>
      <c r="B291" s="14" t="s">
        <v>1068</v>
      </c>
      <c r="C291" s="14">
        <v>33</v>
      </c>
      <c r="D291" s="14" t="s">
        <v>85</v>
      </c>
      <c r="E291" s="14">
        <v>70201026</v>
      </c>
      <c r="F291" s="14" t="s">
        <v>1069</v>
      </c>
      <c r="G291" s="14" t="s">
        <v>185</v>
      </c>
      <c r="H291" s="14"/>
      <c r="I291" s="14"/>
      <c r="J291" s="14"/>
      <c r="K291" s="15">
        <v>70201026</v>
      </c>
      <c r="L291" s="15" t="s">
        <v>73</v>
      </c>
      <c r="M291" s="15" t="b">
        <v>1</v>
      </c>
      <c r="N291" s="15"/>
      <c r="O291" s="16" t="s">
        <v>251</v>
      </c>
      <c r="P291" s="16" t="s">
        <v>1070</v>
      </c>
      <c r="Q291" s="16">
        <v>100</v>
      </c>
      <c r="R291" s="16" t="b">
        <v>1</v>
      </c>
    </row>
    <row r="292" spans="1:18" x14ac:dyDescent="0.35">
      <c r="A292" s="14">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x14ac:dyDescent="0.35">
      <c r="A293" s="14">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x14ac:dyDescent="0.35">
      <c r="A294" s="14">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x14ac:dyDescent="0.35">
      <c r="A295" s="14">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x14ac:dyDescent="0.35">
      <c r="A296" s="14">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x14ac:dyDescent="0.35">
      <c r="A297" s="14">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x14ac:dyDescent="0.35">
      <c r="A298" s="14">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x14ac:dyDescent="0.35">
      <c r="A299" s="14">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x14ac:dyDescent="0.35">
      <c r="A300" s="14">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x14ac:dyDescent="0.35">
      <c r="A301" s="14">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x14ac:dyDescent="0.35">
      <c r="A302" s="14">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x14ac:dyDescent="0.35">
      <c r="A303" s="14">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x14ac:dyDescent="0.35">
      <c r="A304" s="14">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x14ac:dyDescent="0.35">
      <c r="A305" s="14">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x14ac:dyDescent="0.35">
      <c r="A306" s="14">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x14ac:dyDescent="0.35">
      <c r="A307" s="14">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x14ac:dyDescent="0.35">
      <c r="A308" s="14">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x14ac:dyDescent="0.35">
      <c r="A309" s="14">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x14ac:dyDescent="0.35">
      <c r="A310" s="14">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x14ac:dyDescent="0.35">
      <c r="A311" s="14">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x14ac:dyDescent="0.35">
      <c r="A312" s="14">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x14ac:dyDescent="0.35">
      <c r="A313" s="14">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x14ac:dyDescent="0.35">
      <c r="A314" s="14">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x14ac:dyDescent="0.35">
      <c r="A315" s="14">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x14ac:dyDescent="0.35">
      <c r="A316" s="14">
        <v>438</v>
      </c>
      <c r="B316" s="14" t="s">
        <v>1130</v>
      </c>
      <c r="C316" s="14">
        <v>26</v>
      </c>
      <c r="D316" s="14" t="s">
        <v>107</v>
      </c>
      <c r="E316" s="14">
        <v>70212171</v>
      </c>
      <c r="F316" s="14" t="s">
        <v>1131</v>
      </c>
      <c r="G316" s="14" t="s">
        <v>125</v>
      </c>
      <c r="H316" s="14"/>
      <c r="I316" s="14"/>
      <c r="J316" s="14"/>
      <c r="K316" s="15">
        <v>70209063</v>
      </c>
      <c r="L316" s="15" t="s">
        <v>80</v>
      </c>
      <c r="M316" s="15" t="b">
        <v>1</v>
      </c>
      <c r="N316" s="15"/>
      <c r="O316" s="16" t="s">
        <v>392</v>
      </c>
      <c r="P316" s="16" t="s">
        <v>1132</v>
      </c>
      <c r="Q316" s="16">
        <v>60.4</v>
      </c>
      <c r="R316" s="16" t="b">
        <v>0</v>
      </c>
    </row>
    <row r="317" spans="1:18" x14ac:dyDescent="0.35">
      <c r="A317" s="14">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x14ac:dyDescent="0.35">
      <c r="A318" s="14">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x14ac:dyDescent="0.35">
      <c r="A319" s="14">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x14ac:dyDescent="0.35">
      <c r="A320" s="14">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x14ac:dyDescent="0.35">
      <c r="A321" s="14">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x14ac:dyDescent="0.35">
      <c r="A322" s="14">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x14ac:dyDescent="0.35">
      <c r="A323" s="14">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x14ac:dyDescent="0.35">
      <c r="A324" s="14">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x14ac:dyDescent="0.35">
      <c r="A325" s="14">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x14ac:dyDescent="0.35">
      <c r="A326" s="14">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x14ac:dyDescent="0.35">
      <c r="A327" s="14">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x14ac:dyDescent="0.35">
      <c r="A328" s="14">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x14ac:dyDescent="0.35">
      <c r="A329" s="14">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x14ac:dyDescent="0.35">
      <c r="A330" s="14">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x14ac:dyDescent="0.35">
      <c r="A331" s="14">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x14ac:dyDescent="0.35">
      <c r="A332" s="14">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x14ac:dyDescent="0.35">
      <c r="A333" s="14">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x14ac:dyDescent="0.35">
      <c r="A334" s="14">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x14ac:dyDescent="0.35">
      <c r="A335" s="14">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x14ac:dyDescent="0.35">
      <c r="A336" s="14">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x14ac:dyDescent="0.35">
      <c r="A337" s="14">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x14ac:dyDescent="0.35">
      <c r="A338" s="14">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x14ac:dyDescent="0.35">
      <c r="A339" s="14">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x14ac:dyDescent="0.35">
      <c r="A340" s="14">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x14ac:dyDescent="0.35">
      <c r="A341" s="14">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x14ac:dyDescent="0.35">
      <c r="A342" s="14">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x14ac:dyDescent="0.35">
      <c r="A343" s="14">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x14ac:dyDescent="0.35">
      <c r="A344" s="14">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x14ac:dyDescent="0.35">
      <c r="A345" s="14">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x14ac:dyDescent="0.35">
      <c r="A346" s="14">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x14ac:dyDescent="0.35">
      <c r="A347" s="14">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x14ac:dyDescent="0.35">
      <c r="A348" s="14">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x14ac:dyDescent="0.35">
      <c r="A349" s="14">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x14ac:dyDescent="0.35">
      <c r="A350" s="14">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x14ac:dyDescent="0.35">
      <c r="A351" s="14">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x14ac:dyDescent="0.35">
      <c r="A352" s="14">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x14ac:dyDescent="0.35">
      <c r="A353" s="14">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x14ac:dyDescent="0.35">
      <c r="A354" s="14">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x14ac:dyDescent="0.35">
      <c r="A355" s="14">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x14ac:dyDescent="0.35">
      <c r="A356" s="14">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x14ac:dyDescent="0.35">
      <c r="A357" s="14">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x14ac:dyDescent="0.35">
      <c r="A358" s="14">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x14ac:dyDescent="0.35">
      <c r="A359" s="14">
        <v>655</v>
      </c>
      <c r="B359" s="14" t="s">
        <v>1260</v>
      </c>
      <c r="C359" s="14">
        <v>17</v>
      </c>
      <c r="D359" s="14" t="s">
        <v>107</v>
      </c>
      <c r="E359" s="14">
        <v>70211277</v>
      </c>
      <c r="F359" s="14" t="s">
        <v>1261</v>
      </c>
      <c r="G359" s="14" t="s">
        <v>72</v>
      </c>
      <c r="H359" s="14" t="s">
        <v>458</v>
      </c>
      <c r="I359" s="14"/>
      <c r="J359" s="14" t="s">
        <v>459</v>
      </c>
      <c r="K359" s="14"/>
      <c r="L359" s="14" t="s">
        <v>458</v>
      </c>
      <c r="M359" s="14" t="b">
        <v>1</v>
      </c>
      <c r="N359" s="14"/>
      <c r="O359" s="14" t="s">
        <v>1262</v>
      </c>
      <c r="P359" s="14" t="s">
        <v>1263</v>
      </c>
      <c r="Q359" s="14">
        <v>53.3</v>
      </c>
      <c r="R359" s="14" t="b">
        <v>0</v>
      </c>
    </row>
    <row r="360" spans="1:18" x14ac:dyDescent="0.35">
      <c r="A360" s="14">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x14ac:dyDescent="0.35">
      <c r="A361" s="14">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x14ac:dyDescent="0.35">
      <c r="A362" s="14">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x14ac:dyDescent="0.35">
      <c r="A363" s="14">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x14ac:dyDescent="0.35">
      <c r="A364" s="14">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x14ac:dyDescent="0.35">
      <c r="A365" s="14">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x14ac:dyDescent="0.35">
      <c r="A366" s="14">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x14ac:dyDescent="0.35">
      <c r="A367" s="14">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x14ac:dyDescent="0.35">
      <c r="A368" s="14">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x14ac:dyDescent="0.35">
      <c r="A369" s="14">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x14ac:dyDescent="0.35">
      <c r="A370" s="14">
        <v>4406</v>
      </c>
      <c r="B370" s="14" t="s">
        <v>1288</v>
      </c>
      <c r="C370" s="14">
        <v>14</v>
      </c>
      <c r="D370" s="14" t="s">
        <v>107</v>
      </c>
      <c r="E370" s="14">
        <v>70214069</v>
      </c>
      <c r="F370" s="14" t="s">
        <v>1020</v>
      </c>
      <c r="G370" s="14" t="s">
        <v>87</v>
      </c>
      <c r="H370" s="14"/>
      <c r="I370" s="14"/>
      <c r="J370" s="14"/>
      <c r="K370" s="15">
        <v>70213032</v>
      </c>
      <c r="L370" s="15" t="s">
        <v>80</v>
      </c>
      <c r="M370" s="15" t="b">
        <v>1</v>
      </c>
      <c r="N370" s="15"/>
      <c r="O370" s="16" t="s">
        <v>397</v>
      </c>
      <c r="P370" s="16" t="s">
        <v>1021</v>
      </c>
      <c r="Q370" s="16">
        <v>59</v>
      </c>
      <c r="R370" s="16" t="b">
        <v>0</v>
      </c>
    </row>
    <row r="371" spans="1:18" x14ac:dyDescent="0.35">
      <c r="A371" s="14">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x14ac:dyDescent="0.35">
      <c r="A372" s="14">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x14ac:dyDescent="0.35">
      <c r="A373" s="14">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x14ac:dyDescent="0.35">
      <c r="A374" s="14">
        <v>431</v>
      </c>
      <c r="B374" s="14" t="s">
        <v>1296</v>
      </c>
      <c r="C374" s="14">
        <v>13</v>
      </c>
      <c r="D374" s="14" t="s">
        <v>63</v>
      </c>
      <c r="E374" s="14">
        <v>70211078</v>
      </c>
      <c r="F374" s="14" t="s">
        <v>1297</v>
      </c>
      <c r="G374" s="14" t="s">
        <v>87</v>
      </c>
      <c r="H374" s="14"/>
      <c r="I374" s="14"/>
      <c r="J374" s="14"/>
      <c r="K374" s="15">
        <v>70211078</v>
      </c>
      <c r="L374" s="15" t="s">
        <v>80</v>
      </c>
      <c r="M374" s="15" t="b">
        <v>1</v>
      </c>
      <c r="N374" s="15"/>
      <c r="O374" s="16" t="s">
        <v>397</v>
      </c>
      <c r="P374" s="16" t="s">
        <v>1298</v>
      </c>
      <c r="Q374" s="16">
        <v>66.7</v>
      </c>
      <c r="R374" s="16" t="b">
        <v>0</v>
      </c>
    </row>
    <row r="375" spans="1:18" x14ac:dyDescent="0.35">
      <c r="A375" s="14">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x14ac:dyDescent="0.35">
      <c r="A376" s="14">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x14ac:dyDescent="0.35">
      <c r="A377" s="14">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x14ac:dyDescent="0.35">
      <c r="A378" s="14">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x14ac:dyDescent="0.35">
      <c r="A379" s="14">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x14ac:dyDescent="0.35">
      <c r="A380" s="14">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x14ac:dyDescent="0.35">
      <c r="A381" s="14">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x14ac:dyDescent="0.35">
      <c r="A382" s="14">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x14ac:dyDescent="0.35">
      <c r="A383" s="14">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x14ac:dyDescent="0.35">
      <c r="A384" s="14">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x14ac:dyDescent="0.35">
      <c r="A385" s="14">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x14ac:dyDescent="0.35">
      <c r="A386" s="14">
        <v>1536</v>
      </c>
      <c r="B386" s="14" t="s">
        <v>1326</v>
      </c>
      <c r="C386" s="14">
        <v>12</v>
      </c>
      <c r="D386" s="14" t="s">
        <v>107</v>
      </c>
      <c r="E386" s="14">
        <v>70207061</v>
      </c>
      <c r="F386" s="14" t="s">
        <v>1327</v>
      </c>
      <c r="G386" s="14" t="s">
        <v>65</v>
      </c>
      <c r="H386" s="14" t="s">
        <v>458</v>
      </c>
      <c r="I386" s="14"/>
      <c r="J386" s="14" t="s">
        <v>459</v>
      </c>
      <c r="K386" s="14"/>
      <c r="L386" s="14" t="s">
        <v>458</v>
      </c>
      <c r="M386" s="14" t="b">
        <v>1</v>
      </c>
      <c r="N386" s="14"/>
      <c r="O386" s="14" t="s">
        <v>1328</v>
      </c>
      <c r="P386" s="14" t="s">
        <v>1329</v>
      </c>
      <c r="Q386" s="14">
        <v>58.8</v>
      </c>
      <c r="R386" s="14" t="b">
        <v>0</v>
      </c>
    </row>
    <row r="387" spans="1:18" x14ac:dyDescent="0.35">
      <c r="A387" s="14">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x14ac:dyDescent="0.35">
      <c r="A388" s="14">
        <v>82</v>
      </c>
      <c r="B388" s="14" t="s">
        <v>1333</v>
      </c>
      <c r="C388" s="14">
        <v>12</v>
      </c>
      <c r="D388" s="14" t="s">
        <v>63</v>
      </c>
      <c r="E388" s="14">
        <v>70213163</v>
      </c>
      <c r="F388" s="14" t="s">
        <v>854</v>
      </c>
      <c r="G388" s="14" t="s">
        <v>87</v>
      </c>
      <c r="H388" s="14"/>
      <c r="I388" s="14"/>
      <c r="J388" s="14"/>
      <c r="K388" s="15">
        <v>70213050</v>
      </c>
      <c r="L388" s="15" t="s">
        <v>80</v>
      </c>
      <c r="M388" s="15" t="b">
        <v>1</v>
      </c>
      <c r="N388" s="15"/>
      <c r="O388" s="16" t="s">
        <v>397</v>
      </c>
      <c r="P388" s="16" t="s">
        <v>855</v>
      </c>
      <c r="Q388" s="16">
        <v>65.2</v>
      </c>
      <c r="R388" s="16" t="b">
        <v>0</v>
      </c>
    </row>
    <row r="389" spans="1:18" x14ac:dyDescent="0.35">
      <c r="A389" s="14">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x14ac:dyDescent="0.35">
      <c r="A390" s="14">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x14ac:dyDescent="0.35">
      <c r="A391" s="14">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x14ac:dyDescent="0.35">
      <c r="A392" s="14">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x14ac:dyDescent="0.35">
      <c r="A393" s="14">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x14ac:dyDescent="0.35">
      <c r="A394" s="14">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x14ac:dyDescent="0.35">
      <c r="A395" s="14">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x14ac:dyDescent="0.35">
      <c r="A396" s="14">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x14ac:dyDescent="0.35">
      <c r="A397" s="14">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x14ac:dyDescent="0.35">
      <c r="A398" s="14">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x14ac:dyDescent="0.35">
      <c r="A399" s="14">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x14ac:dyDescent="0.35">
      <c r="A400" s="14">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x14ac:dyDescent="0.35">
      <c r="A401" s="14">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x14ac:dyDescent="0.35">
      <c r="A402" s="14">
        <v>3073</v>
      </c>
      <c r="B402" s="14" t="s">
        <v>1368</v>
      </c>
      <c r="C402" s="14">
        <v>11</v>
      </c>
      <c r="D402" s="14" t="s">
        <v>107</v>
      </c>
      <c r="E402" s="14">
        <v>70214137</v>
      </c>
      <c r="F402" s="14" t="s">
        <v>738</v>
      </c>
      <c r="G402" s="14" t="s">
        <v>87</v>
      </c>
      <c r="H402" s="14"/>
      <c r="I402" s="14"/>
      <c r="J402" s="14"/>
      <c r="K402" s="15">
        <v>70211189</v>
      </c>
      <c r="L402" s="15" t="s">
        <v>80</v>
      </c>
      <c r="M402" s="15" t="b">
        <v>1</v>
      </c>
      <c r="N402" s="15"/>
      <c r="O402" s="16" t="s">
        <v>392</v>
      </c>
      <c r="P402" s="16" t="s">
        <v>740</v>
      </c>
      <c r="Q402" s="16">
        <v>57.9</v>
      </c>
      <c r="R402" s="16" t="b">
        <v>1</v>
      </c>
    </row>
    <row r="403" spans="1:18" x14ac:dyDescent="0.35">
      <c r="A403" s="14">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x14ac:dyDescent="0.35">
      <c r="A404" s="14">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x14ac:dyDescent="0.35">
      <c r="A405" s="14">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x14ac:dyDescent="0.35">
      <c r="A406" s="14">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x14ac:dyDescent="0.35">
      <c r="A407" s="14">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x14ac:dyDescent="0.35">
      <c r="A408" s="14">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x14ac:dyDescent="0.35">
      <c r="A409" s="14">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x14ac:dyDescent="0.35">
      <c r="A410" s="14">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x14ac:dyDescent="0.35">
      <c r="A411" s="14">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x14ac:dyDescent="0.35">
      <c r="A412" s="14">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x14ac:dyDescent="0.35">
      <c r="A413" s="14">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x14ac:dyDescent="0.35">
      <c r="A414" s="14">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x14ac:dyDescent="0.35">
      <c r="A415" s="14">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x14ac:dyDescent="0.35">
      <c r="A416" s="14">
        <v>32</v>
      </c>
      <c r="B416" s="14" t="s">
        <v>1397</v>
      </c>
      <c r="C416" s="14">
        <v>10</v>
      </c>
      <c r="D416" s="14" t="s">
        <v>63</v>
      </c>
      <c r="E416" s="14">
        <v>70213174</v>
      </c>
      <c r="F416" s="14" t="s">
        <v>437</v>
      </c>
      <c r="G416" s="14" t="s">
        <v>87</v>
      </c>
      <c r="H416" s="14"/>
      <c r="I416" s="14"/>
      <c r="J416" s="14"/>
      <c r="K416" s="15">
        <v>70213163</v>
      </c>
      <c r="L416" s="15" t="s">
        <v>80</v>
      </c>
      <c r="M416" s="15" t="b">
        <v>1</v>
      </c>
      <c r="N416" s="23" t="s">
        <v>2231</v>
      </c>
      <c r="O416" s="16" t="s">
        <v>1398</v>
      </c>
      <c r="P416" s="16" t="s">
        <v>439</v>
      </c>
      <c r="Q416" s="16">
        <v>67.8</v>
      </c>
      <c r="R416" s="16" t="b">
        <v>0</v>
      </c>
    </row>
    <row r="417" spans="1:18" x14ac:dyDescent="0.35">
      <c r="A417" s="14">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x14ac:dyDescent="0.35">
      <c r="A418" s="14">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x14ac:dyDescent="0.35">
      <c r="A419" s="14">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x14ac:dyDescent="0.35">
      <c r="A420" s="14">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x14ac:dyDescent="0.35">
      <c r="A421" s="14">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x14ac:dyDescent="0.35">
      <c r="A422" s="14">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x14ac:dyDescent="0.35">
      <c r="A423" s="14">
        <v>657</v>
      </c>
      <c r="B423" s="14" t="s">
        <v>1416</v>
      </c>
      <c r="C423" s="14">
        <v>9</v>
      </c>
      <c r="D423" s="14" t="s">
        <v>107</v>
      </c>
      <c r="E423" s="14">
        <v>70213088</v>
      </c>
      <c r="F423" s="14" t="s">
        <v>1417</v>
      </c>
      <c r="G423" s="14" t="s">
        <v>87</v>
      </c>
      <c r="H423" s="14" t="s">
        <v>458</v>
      </c>
      <c r="I423" s="14"/>
      <c r="J423" s="14" t="s">
        <v>459</v>
      </c>
      <c r="K423" s="14"/>
      <c r="L423" s="14" t="s">
        <v>66</v>
      </c>
      <c r="M423" s="14" t="b">
        <v>1</v>
      </c>
      <c r="N423" s="14"/>
      <c r="O423" s="14" t="s">
        <v>1262</v>
      </c>
      <c r="P423" s="14" t="s">
        <v>1418</v>
      </c>
      <c r="Q423" s="14">
        <v>55.6</v>
      </c>
      <c r="R423" s="14" t="b">
        <v>0</v>
      </c>
    </row>
    <row r="424" spans="1:18" x14ac:dyDescent="0.35">
      <c r="A424" s="14">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x14ac:dyDescent="0.35">
      <c r="A425" s="14">
        <v>6451</v>
      </c>
      <c r="B425" s="14" t="s">
        <v>1423</v>
      </c>
      <c r="C425" s="14">
        <v>9</v>
      </c>
      <c r="D425" s="14" t="s">
        <v>63</v>
      </c>
      <c r="E425" s="14">
        <v>70201105</v>
      </c>
      <c r="F425" s="14" t="s">
        <v>1424</v>
      </c>
      <c r="G425" s="14" t="s">
        <v>185</v>
      </c>
      <c r="H425" s="14"/>
      <c r="I425" s="14"/>
      <c r="J425" s="14"/>
      <c r="K425" s="15">
        <v>70201105</v>
      </c>
      <c r="L425" s="15" t="s">
        <v>73</v>
      </c>
      <c r="M425" s="15" t="b">
        <v>1</v>
      </c>
      <c r="N425" s="15"/>
      <c r="O425" s="16" t="s">
        <v>187</v>
      </c>
      <c r="P425" s="16" t="s">
        <v>1425</v>
      </c>
      <c r="Q425" s="16">
        <v>67.7</v>
      </c>
      <c r="R425" s="16" t="b">
        <v>0</v>
      </c>
    </row>
    <row r="426" spans="1:18" x14ac:dyDescent="0.35">
      <c r="A426" s="14">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x14ac:dyDescent="0.35">
      <c r="A427" s="14">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x14ac:dyDescent="0.35">
      <c r="A428" s="14">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t="76" x14ac:dyDescent="0.35">
      <c r="A429" s="14">
        <v>3076</v>
      </c>
      <c r="B429" s="14" t="s">
        <v>1435</v>
      </c>
      <c r="C429" s="14">
        <v>9</v>
      </c>
      <c r="D429" s="14" t="s">
        <v>107</v>
      </c>
      <c r="E429" s="14">
        <v>70209049</v>
      </c>
      <c r="F429" s="14" t="s">
        <v>1436</v>
      </c>
      <c r="G429" s="14" t="s">
        <v>170</v>
      </c>
      <c r="H429" s="14"/>
      <c r="I429" s="14"/>
      <c r="J429" s="14"/>
      <c r="K429" s="15">
        <v>70209058</v>
      </c>
      <c r="L429" s="15" t="s">
        <v>80</v>
      </c>
      <c r="M429" s="15" t="b">
        <v>1</v>
      </c>
      <c r="N429" s="25" t="s">
        <v>2227</v>
      </c>
      <c r="O429" s="16" t="s">
        <v>1437</v>
      </c>
      <c r="P429" s="16" t="s">
        <v>1438</v>
      </c>
      <c r="Q429" s="16">
        <v>59.7</v>
      </c>
      <c r="R429" s="16" t="b">
        <v>0</v>
      </c>
    </row>
    <row r="430" spans="1:18" x14ac:dyDescent="0.35">
      <c r="A430" s="14">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x14ac:dyDescent="0.35">
      <c r="A431" s="14">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x14ac:dyDescent="0.35">
      <c r="A432" s="14">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x14ac:dyDescent="0.35">
      <c r="A433" s="14">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x14ac:dyDescent="0.35">
      <c r="A434" s="14">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x14ac:dyDescent="0.35">
      <c r="A435" s="14">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x14ac:dyDescent="0.35">
      <c r="A436" s="14">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x14ac:dyDescent="0.35">
      <c r="A437" s="14">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x14ac:dyDescent="0.35">
      <c r="A438" s="14">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x14ac:dyDescent="0.35">
      <c r="A439" s="14">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x14ac:dyDescent="0.35">
      <c r="A440" s="14">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x14ac:dyDescent="0.35">
      <c r="A441" s="14">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x14ac:dyDescent="0.35">
      <c r="A442" s="14">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x14ac:dyDescent="0.35">
      <c r="A443" s="14">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x14ac:dyDescent="0.35">
      <c r="A444" s="14">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x14ac:dyDescent="0.35">
      <c r="A445" s="14">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x14ac:dyDescent="0.35">
      <c r="A446" s="14">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x14ac:dyDescent="0.35">
      <c r="A447" s="14">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x14ac:dyDescent="0.35">
      <c r="A448" s="14">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x14ac:dyDescent="0.35">
      <c r="A449" s="14">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x14ac:dyDescent="0.35">
      <c r="A450" s="14">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x14ac:dyDescent="0.35">
      <c r="A451" s="14">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x14ac:dyDescent="0.35">
      <c r="A452" s="14">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x14ac:dyDescent="0.35">
      <c r="A453" s="14">
        <v>653</v>
      </c>
      <c r="B453" s="14" t="s">
        <v>1503</v>
      </c>
      <c r="C453" s="14">
        <v>8</v>
      </c>
      <c r="D453" s="14" t="s">
        <v>107</v>
      </c>
      <c r="E453" s="14">
        <v>70205075</v>
      </c>
      <c r="F453" s="14" t="s">
        <v>1504</v>
      </c>
      <c r="G453" s="14" t="s">
        <v>65</v>
      </c>
      <c r="H453" s="14" t="s">
        <v>458</v>
      </c>
      <c r="I453" s="14"/>
      <c r="J453" s="14" t="s">
        <v>459</v>
      </c>
      <c r="K453" s="14"/>
      <c r="L453" s="14" t="s">
        <v>458</v>
      </c>
      <c r="M453" s="14" t="b">
        <v>1</v>
      </c>
      <c r="N453" s="14"/>
      <c r="O453" s="14" t="s">
        <v>460</v>
      </c>
      <c r="P453" s="14" t="s">
        <v>1505</v>
      </c>
      <c r="Q453" s="14">
        <v>54.5</v>
      </c>
      <c r="R453" s="14" t="b">
        <v>0</v>
      </c>
    </row>
    <row r="454" spans="1:18" x14ac:dyDescent="0.35">
      <c r="A454" s="14">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x14ac:dyDescent="0.35">
      <c r="A455" s="14">
        <v>654</v>
      </c>
      <c r="B455" s="14" t="s">
        <v>1510</v>
      </c>
      <c r="C455" s="14">
        <v>8</v>
      </c>
      <c r="D455" s="14" t="s">
        <v>107</v>
      </c>
      <c r="E455" s="14">
        <v>70211126</v>
      </c>
      <c r="F455" s="14" t="s">
        <v>1405</v>
      </c>
      <c r="G455" s="14" t="s">
        <v>72</v>
      </c>
      <c r="H455" s="14" t="s">
        <v>458</v>
      </c>
      <c r="I455" s="14"/>
      <c r="J455" s="14" t="s">
        <v>459</v>
      </c>
      <c r="K455" s="14"/>
      <c r="L455" s="14" t="s">
        <v>458</v>
      </c>
      <c r="M455" s="14" t="b">
        <v>1</v>
      </c>
      <c r="N455" s="14"/>
      <c r="O455" s="14" t="s">
        <v>1511</v>
      </c>
      <c r="P455" s="14" t="s">
        <v>1407</v>
      </c>
      <c r="Q455" s="14">
        <v>57.1</v>
      </c>
      <c r="R455" s="14" t="b">
        <v>1</v>
      </c>
    </row>
    <row r="456" spans="1:18" x14ac:dyDescent="0.35">
      <c r="A456" s="14">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x14ac:dyDescent="0.35">
      <c r="A457" s="14">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x14ac:dyDescent="0.35">
      <c r="A458" s="14">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x14ac:dyDescent="0.35">
      <c r="A459" s="14">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x14ac:dyDescent="0.35">
      <c r="A460" s="14">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x14ac:dyDescent="0.35">
      <c r="A461" s="14">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x14ac:dyDescent="0.35">
      <c r="A462" s="14">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x14ac:dyDescent="0.35">
      <c r="A463" s="14">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x14ac:dyDescent="0.35">
      <c r="A464" s="14">
        <v>656</v>
      </c>
      <c r="B464" s="14" t="s">
        <v>1532</v>
      </c>
      <c r="C464" s="14">
        <v>7</v>
      </c>
      <c r="D464" s="14" t="s">
        <v>107</v>
      </c>
      <c r="E464" s="14">
        <v>70217155</v>
      </c>
      <c r="F464" s="14" t="s">
        <v>1533</v>
      </c>
      <c r="G464" s="14" t="s">
        <v>136</v>
      </c>
      <c r="H464" s="14" t="s">
        <v>458</v>
      </c>
      <c r="I464" s="14"/>
      <c r="J464" s="14" t="s">
        <v>459</v>
      </c>
      <c r="K464" s="14"/>
      <c r="L464" s="14" t="s">
        <v>458</v>
      </c>
      <c r="M464" s="14" t="b">
        <v>1</v>
      </c>
      <c r="N464" s="14"/>
      <c r="O464" s="14" t="s">
        <v>1262</v>
      </c>
      <c r="P464" s="14" t="s">
        <v>1534</v>
      </c>
      <c r="Q464" s="14">
        <v>60</v>
      </c>
      <c r="R464" s="14" t="b">
        <v>0</v>
      </c>
    </row>
    <row r="465" spans="1:18" x14ac:dyDescent="0.35">
      <c r="A465" s="14">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x14ac:dyDescent="0.35">
      <c r="A466" s="14">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x14ac:dyDescent="0.35">
      <c r="A467" s="14">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x14ac:dyDescent="0.35">
      <c r="A468" s="14">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x14ac:dyDescent="0.35">
      <c r="A469" s="14">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x14ac:dyDescent="0.35">
      <c r="A470" s="14">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x14ac:dyDescent="0.35">
      <c r="A471" s="14">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x14ac:dyDescent="0.35">
      <c r="A472" s="14">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x14ac:dyDescent="0.35">
      <c r="A473" s="14">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x14ac:dyDescent="0.35">
      <c r="A474" s="14">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x14ac:dyDescent="0.35">
      <c r="A475" s="14">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x14ac:dyDescent="0.35">
      <c r="A476" s="14">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x14ac:dyDescent="0.35">
      <c r="A477" s="14">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x14ac:dyDescent="0.35">
      <c r="A478" s="14">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x14ac:dyDescent="0.35">
      <c r="A479" s="14">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x14ac:dyDescent="0.35">
      <c r="A480" s="14">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x14ac:dyDescent="0.35">
      <c r="A481" s="14">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x14ac:dyDescent="0.35">
      <c r="A482" s="14">
        <v>231</v>
      </c>
      <c r="B482" s="14" t="s">
        <v>1575</v>
      </c>
      <c r="C482" s="14">
        <v>6</v>
      </c>
      <c r="D482" s="14" t="s">
        <v>63</v>
      </c>
      <c r="E482" s="14">
        <v>70216035</v>
      </c>
      <c r="F482" s="14" t="s">
        <v>1576</v>
      </c>
      <c r="G482" s="14" t="s">
        <v>103</v>
      </c>
      <c r="H482" s="14"/>
      <c r="I482" s="14"/>
      <c r="J482" s="14"/>
      <c r="K482" s="24">
        <v>70208018</v>
      </c>
      <c r="L482" s="15" t="s">
        <v>80</v>
      </c>
      <c r="M482" s="15" t="b">
        <v>1</v>
      </c>
      <c r="N482" s="15"/>
      <c r="O482" s="16" t="s">
        <v>1302</v>
      </c>
      <c r="P482" s="16" t="s">
        <v>1577</v>
      </c>
      <c r="Q482" s="16">
        <v>74.099999999999994</v>
      </c>
      <c r="R482" s="16" t="b">
        <v>0</v>
      </c>
    </row>
    <row r="483" spans="1:18" x14ac:dyDescent="0.35">
      <c r="A483" s="14">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x14ac:dyDescent="0.35">
      <c r="A484" s="14">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x14ac:dyDescent="0.35">
      <c r="A485" s="14">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x14ac:dyDescent="0.35">
      <c r="A486" s="14">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x14ac:dyDescent="0.35">
      <c r="A487" s="14">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x14ac:dyDescent="0.35">
      <c r="A488" s="14">
        <v>233</v>
      </c>
      <c r="B488" s="14" t="s">
        <v>1589</v>
      </c>
      <c r="C488" s="14">
        <v>6</v>
      </c>
      <c r="D488" s="14" t="s">
        <v>107</v>
      </c>
      <c r="E488" s="14">
        <v>70215025</v>
      </c>
      <c r="F488" s="14" t="s">
        <v>651</v>
      </c>
      <c r="G488" s="14" t="s">
        <v>142</v>
      </c>
      <c r="H488" s="14"/>
      <c r="I488" s="14"/>
      <c r="J488" s="14"/>
      <c r="K488" s="15">
        <v>70208022</v>
      </c>
      <c r="L488" s="15" t="s">
        <v>80</v>
      </c>
      <c r="M488" s="15" t="b">
        <v>1</v>
      </c>
      <c r="N488" s="15" t="s">
        <v>2222</v>
      </c>
      <c r="O488" s="16" t="s">
        <v>1302</v>
      </c>
      <c r="P488" s="16" t="s">
        <v>652</v>
      </c>
      <c r="Q488" s="16">
        <v>62.1</v>
      </c>
      <c r="R488" s="16" t="b">
        <v>0</v>
      </c>
    </row>
    <row r="489" spans="1:18" x14ac:dyDescent="0.35">
      <c r="A489" s="14">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x14ac:dyDescent="0.35">
      <c r="A490" s="14">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x14ac:dyDescent="0.35">
      <c r="A491" s="14">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x14ac:dyDescent="0.35">
      <c r="A492" s="14">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x14ac:dyDescent="0.35">
      <c r="A493" s="14">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x14ac:dyDescent="0.35">
      <c r="A494" s="14">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x14ac:dyDescent="0.35">
      <c r="A495" s="14">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x14ac:dyDescent="0.35">
      <c r="A496" s="14">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x14ac:dyDescent="0.35">
      <c r="A497" s="14">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x14ac:dyDescent="0.35">
      <c r="A498" s="14">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x14ac:dyDescent="0.35">
      <c r="A499" s="14">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x14ac:dyDescent="0.35">
      <c r="A500" s="14">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x14ac:dyDescent="0.35">
      <c r="A501" s="14">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x14ac:dyDescent="0.35">
      <c r="A502" s="14">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x14ac:dyDescent="0.35">
      <c r="A503" s="14">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x14ac:dyDescent="0.35">
      <c r="A504" s="14">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x14ac:dyDescent="0.35">
      <c r="A505" s="14">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x14ac:dyDescent="0.35">
      <c r="A506" s="14">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x14ac:dyDescent="0.35">
      <c r="A507" s="14">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x14ac:dyDescent="0.35">
      <c r="A508" s="14">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x14ac:dyDescent="0.35">
      <c r="A509" s="14">
        <v>5448</v>
      </c>
      <c r="B509" s="14" t="s">
        <v>1628</v>
      </c>
      <c r="C509" s="14">
        <v>5</v>
      </c>
      <c r="D509" s="14" t="s">
        <v>63</v>
      </c>
      <c r="E509" s="14">
        <v>70201052</v>
      </c>
      <c r="F509" s="14" t="s">
        <v>249</v>
      </c>
      <c r="G509" s="14" t="s">
        <v>185</v>
      </c>
      <c r="H509" s="14"/>
      <c r="I509" s="14"/>
      <c r="J509" s="14"/>
      <c r="K509" s="15">
        <v>70201052</v>
      </c>
      <c r="L509" s="15" t="s">
        <v>73</v>
      </c>
      <c r="M509" s="15" t="b">
        <v>1</v>
      </c>
      <c r="N509" s="15"/>
      <c r="O509" s="16" t="s">
        <v>251</v>
      </c>
      <c r="P509" s="16" t="s">
        <v>252</v>
      </c>
      <c r="Q509" s="16">
        <v>83.9</v>
      </c>
      <c r="R509" s="16" t="b">
        <v>0</v>
      </c>
    </row>
    <row r="510" spans="1:18" x14ac:dyDescent="0.35">
      <c r="A510" s="14">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x14ac:dyDescent="0.35">
      <c r="A511" s="14">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x14ac:dyDescent="0.35">
      <c r="A512" s="14">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x14ac:dyDescent="0.35">
      <c r="A513" s="14">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x14ac:dyDescent="0.35">
      <c r="A514" s="14">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x14ac:dyDescent="0.35">
      <c r="A515" s="14">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x14ac:dyDescent="0.35">
      <c r="A516" s="14">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x14ac:dyDescent="0.35">
      <c r="A517" s="14">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x14ac:dyDescent="0.35">
      <c r="A518" s="14">
        <v>441</v>
      </c>
      <c r="B518" s="14" t="s">
        <v>1648</v>
      </c>
      <c r="C518" s="14">
        <v>4</v>
      </c>
      <c r="D518" s="14" t="s">
        <v>63</v>
      </c>
      <c r="E518" s="14">
        <v>70208051</v>
      </c>
      <c r="F518" s="14" t="s">
        <v>805</v>
      </c>
      <c r="G518" s="14" t="s">
        <v>114</v>
      </c>
      <c r="H518" s="14"/>
      <c r="I518" s="14"/>
      <c r="J518" s="14"/>
      <c r="K518" s="15">
        <v>70209004</v>
      </c>
      <c r="L518" s="15" t="s">
        <v>73</v>
      </c>
      <c r="M518" s="15" t="b">
        <v>1</v>
      </c>
      <c r="N518" s="15"/>
      <c r="O518" s="16" t="s">
        <v>203</v>
      </c>
      <c r="P518" s="16" t="s">
        <v>806</v>
      </c>
      <c r="Q518" s="16">
        <v>69.2</v>
      </c>
      <c r="R518" s="16" t="b">
        <v>0</v>
      </c>
    </row>
    <row r="519" spans="1:18" x14ac:dyDescent="0.35">
      <c r="A519" s="14">
        <v>5212</v>
      </c>
      <c r="B519" s="14" t="s">
        <v>1649</v>
      </c>
      <c r="C519" s="14">
        <v>4</v>
      </c>
      <c r="D519" s="14" t="s">
        <v>85</v>
      </c>
      <c r="E519" s="14">
        <v>70201119</v>
      </c>
      <c r="F519" s="14" t="s">
        <v>1650</v>
      </c>
      <c r="G519" s="14" t="s">
        <v>185</v>
      </c>
      <c r="H519" s="14"/>
      <c r="I519" s="14"/>
      <c r="J519" s="14"/>
      <c r="K519" s="15">
        <v>70201119</v>
      </c>
      <c r="L519" s="15" t="s">
        <v>73</v>
      </c>
      <c r="M519" s="15" t="b">
        <v>1</v>
      </c>
      <c r="N519" s="15"/>
      <c r="O519" s="16" t="s">
        <v>251</v>
      </c>
      <c r="P519" s="16" t="s">
        <v>1651</v>
      </c>
      <c r="Q519" s="16">
        <v>100</v>
      </c>
      <c r="R519" s="16" t="b">
        <v>1</v>
      </c>
    </row>
    <row r="520" spans="1:18" x14ac:dyDescent="0.35">
      <c r="A520" s="14">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x14ac:dyDescent="0.35">
      <c r="A521" s="14">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x14ac:dyDescent="0.35">
      <c r="A522" s="14">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x14ac:dyDescent="0.35">
      <c r="A523" s="14">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x14ac:dyDescent="0.35">
      <c r="A524" s="14">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x14ac:dyDescent="0.35">
      <c r="A525" s="14">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x14ac:dyDescent="0.35">
      <c r="A526" s="14">
        <v>3134</v>
      </c>
      <c r="B526" s="14" t="s">
        <v>1663</v>
      </c>
      <c r="C526" s="14">
        <v>4</v>
      </c>
      <c r="D526" s="14" t="s">
        <v>63</v>
      </c>
      <c r="E526" s="14">
        <v>70214022</v>
      </c>
      <c r="F526" s="14" t="s">
        <v>710</v>
      </c>
      <c r="G526" s="14" t="s">
        <v>87</v>
      </c>
      <c r="H526" s="14"/>
      <c r="I526" s="14"/>
      <c r="J526" s="14"/>
      <c r="K526" s="15">
        <v>70213050</v>
      </c>
      <c r="L526" s="15" t="s">
        <v>80</v>
      </c>
      <c r="M526" s="15" t="b">
        <v>1</v>
      </c>
      <c r="N526" s="15"/>
      <c r="O526" s="16" t="s">
        <v>397</v>
      </c>
      <c r="P526" s="16" t="s">
        <v>712</v>
      </c>
      <c r="Q526" s="16">
        <v>73.7</v>
      </c>
      <c r="R526" s="16" t="b">
        <v>1</v>
      </c>
    </row>
    <row r="527" spans="1:18" x14ac:dyDescent="0.35">
      <c r="A527" s="14">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x14ac:dyDescent="0.35">
      <c r="A528" s="14">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x14ac:dyDescent="0.35">
      <c r="A529" s="14">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x14ac:dyDescent="0.35">
      <c r="A530" s="14">
        <v>390</v>
      </c>
      <c r="B530" s="14" t="s">
        <v>1670</v>
      </c>
      <c r="C530" s="14">
        <v>4</v>
      </c>
      <c r="D530" s="14" t="s">
        <v>63</v>
      </c>
      <c r="E530" s="14">
        <v>70223040</v>
      </c>
      <c r="F530" s="14" t="s">
        <v>1083</v>
      </c>
      <c r="G530" s="14" t="s">
        <v>191</v>
      </c>
      <c r="H530" s="14"/>
      <c r="I530" s="14"/>
      <c r="J530" s="14"/>
      <c r="K530" s="15">
        <v>70211010</v>
      </c>
      <c r="L530" s="15" t="s">
        <v>80</v>
      </c>
      <c r="M530" s="15" t="b">
        <v>1</v>
      </c>
      <c r="N530" s="15"/>
      <c r="O530" s="16" t="s">
        <v>1671</v>
      </c>
      <c r="P530" s="16" t="s">
        <v>1085</v>
      </c>
      <c r="Q530" s="16">
        <v>66.7</v>
      </c>
      <c r="R530" s="16" t="b">
        <v>0</v>
      </c>
    </row>
    <row r="531" spans="1:18" x14ac:dyDescent="0.35">
      <c r="A531" s="14">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x14ac:dyDescent="0.35">
      <c r="A532" s="14">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x14ac:dyDescent="0.35">
      <c r="A533" s="14">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x14ac:dyDescent="0.35">
      <c r="A534" s="14">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x14ac:dyDescent="0.35">
      <c r="A535" s="14">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x14ac:dyDescent="0.35">
      <c r="A536" s="14">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x14ac:dyDescent="0.35">
      <c r="A537" s="14">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x14ac:dyDescent="0.35">
      <c r="A538" s="14">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x14ac:dyDescent="0.35">
      <c r="A539" s="14">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x14ac:dyDescent="0.35">
      <c r="A540" s="14">
        <v>476</v>
      </c>
      <c r="B540" s="14" t="s">
        <v>1694</v>
      </c>
      <c r="C540" s="14">
        <v>4</v>
      </c>
      <c r="D540" s="14" t="s">
        <v>63</v>
      </c>
      <c r="E540" s="14">
        <v>70211255</v>
      </c>
      <c r="F540" s="14" t="s">
        <v>201</v>
      </c>
      <c r="G540" s="14" t="s">
        <v>72</v>
      </c>
      <c r="H540" s="14"/>
      <c r="I540" s="14"/>
      <c r="J540" s="14"/>
      <c r="K540" s="15"/>
      <c r="L540" s="15" t="s">
        <v>211</v>
      </c>
      <c r="M540" s="15" t="b">
        <v>0</v>
      </c>
      <c r="N540" s="15"/>
      <c r="O540" s="16" t="s">
        <v>203</v>
      </c>
      <c r="P540" s="16" t="s">
        <v>204</v>
      </c>
      <c r="Q540" s="16">
        <v>69.599999999999994</v>
      </c>
      <c r="R540" s="16" t="b">
        <v>0</v>
      </c>
    </row>
    <row r="541" spans="1:18" x14ac:dyDescent="0.35">
      <c r="A541" s="14">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x14ac:dyDescent="0.35">
      <c r="A542" s="14">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x14ac:dyDescent="0.35">
      <c r="A543" s="14">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x14ac:dyDescent="0.35">
      <c r="A544" s="14">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x14ac:dyDescent="0.35">
      <c r="A545" s="14">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x14ac:dyDescent="0.35">
      <c r="A546" s="14">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x14ac:dyDescent="0.35">
      <c r="A547" s="14">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x14ac:dyDescent="0.35">
      <c r="A548" s="14">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x14ac:dyDescent="0.35">
      <c r="A549" s="14">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x14ac:dyDescent="0.35">
      <c r="A550" s="14">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x14ac:dyDescent="0.35">
      <c r="A551" s="14">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x14ac:dyDescent="0.35">
      <c r="A552" s="14">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x14ac:dyDescent="0.35">
      <c r="A553" s="14">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x14ac:dyDescent="0.35">
      <c r="A554" s="14">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x14ac:dyDescent="0.35">
      <c r="A555" s="14">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x14ac:dyDescent="0.35">
      <c r="A556" s="14">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x14ac:dyDescent="0.35">
      <c r="A557" s="14">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x14ac:dyDescent="0.35">
      <c r="A558" s="14">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x14ac:dyDescent="0.35">
      <c r="A559" s="14">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x14ac:dyDescent="0.35">
      <c r="A560" s="14">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x14ac:dyDescent="0.35">
      <c r="A561" s="14">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x14ac:dyDescent="0.35">
      <c r="A562" s="14">
        <v>5377</v>
      </c>
      <c r="B562" s="14" t="s">
        <v>1748</v>
      </c>
      <c r="C562" s="14">
        <v>3</v>
      </c>
      <c r="D562" s="14" t="s">
        <v>63</v>
      </c>
      <c r="E562" s="14">
        <v>70222001</v>
      </c>
      <c r="F562" s="14" t="s">
        <v>1058</v>
      </c>
      <c r="G562" s="14" t="s">
        <v>79</v>
      </c>
      <c r="H562" s="14"/>
      <c r="I562" s="14"/>
      <c r="J562" s="14"/>
      <c r="K562" s="15">
        <v>70213032</v>
      </c>
      <c r="L562" s="15" t="s">
        <v>80</v>
      </c>
      <c r="M562" s="15" t="b">
        <v>1</v>
      </c>
      <c r="N562" s="15"/>
      <c r="O562" s="16" t="s">
        <v>397</v>
      </c>
      <c r="P562" s="16" t="s">
        <v>1060</v>
      </c>
      <c r="Q562" s="16">
        <v>76.2</v>
      </c>
      <c r="R562" s="16" t="b">
        <v>1</v>
      </c>
    </row>
    <row r="563" spans="1:18" ht="63.5" x14ac:dyDescent="0.35">
      <c r="A563" s="14">
        <v>3585</v>
      </c>
      <c r="B563" s="14" t="s">
        <v>1749</v>
      </c>
      <c r="C563" s="14">
        <v>3</v>
      </c>
      <c r="D563" s="14" t="s">
        <v>63</v>
      </c>
      <c r="E563" s="14">
        <v>70209049</v>
      </c>
      <c r="F563" s="14" t="s">
        <v>1436</v>
      </c>
      <c r="G563" s="14" t="s">
        <v>170</v>
      </c>
      <c r="H563" s="14"/>
      <c r="I563" s="14"/>
      <c r="J563" s="14"/>
      <c r="K563" s="15">
        <v>70209049</v>
      </c>
      <c r="L563" s="15" t="s">
        <v>80</v>
      </c>
      <c r="M563" s="15" t="b">
        <v>1</v>
      </c>
      <c r="N563" s="25" t="s">
        <v>2228</v>
      </c>
      <c r="O563" s="16" t="s">
        <v>1437</v>
      </c>
      <c r="P563" s="16" t="s">
        <v>1438</v>
      </c>
      <c r="Q563" s="16">
        <v>65.8</v>
      </c>
      <c r="R563" s="16" t="b">
        <v>0</v>
      </c>
    </row>
    <row r="564" spans="1:18" x14ac:dyDescent="0.35">
      <c r="A564" s="14">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x14ac:dyDescent="0.35">
      <c r="A565" s="14">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x14ac:dyDescent="0.35">
      <c r="A566" s="14">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x14ac:dyDescent="0.35">
      <c r="A567" s="14">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x14ac:dyDescent="0.35">
      <c r="A568" s="14">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x14ac:dyDescent="0.35">
      <c r="A569" s="14">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x14ac:dyDescent="0.35">
      <c r="A570" s="14">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x14ac:dyDescent="0.35">
      <c r="A571" s="14">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x14ac:dyDescent="0.35">
      <c r="A572" s="14">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x14ac:dyDescent="0.35">
      <c r="A573" s="14">
        <v>6456</v>
      </c>
      <c r="B573" s="14" t="s">
        <v>1776</v>
      </c>
      <c r="C573" s="14">
        <v>3</v>
      </c>
      <c r="D573" s="14" t="s">
        <v>63</v>
      </c>
      <c r="E573" s="14">
        <v>7025</v>
      </c>
      <c r="F573" s="14" t="s">
        <v>1777</v>
      </c>
      <c r="G573" s="14" t="s">
        <v>185</v>
      </c>
      <c r="H573" s="14"/>
      <c r="I573" s="14"/>
      <c r="J573" s="14"/>
      <c r="K573" s="15">
        <v>70201010</v>
      </c>
      <c r="L573" s="15" t="s">
        <v>73</v>
      </c>
      <c r="M573" s="15" t="b">
        <v>1</v>
      </c>
      <c r="N573" s="15"/>
      <c r="O573" s="16" t="s">
        <v>187</v>
      </c>
      <c r="P573" s="16" t="s">
        <v>1778</v>
      </c>
      <c r="Q573" s="16">
        <v>72.7</v>
      </c>
      <c r="R573" s="16" t="b">
        <v>0</v>
      </c>
    </row>
    <row r="574" spans="1:18" x14ac:dyDescent="0.35">
      <c r="A574" s="14">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x14ac:dyDescent="0.35">
      <c r="A575" s="14">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x14ac:dyDescent="0.35">
      <c r="A576" s="14">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x14ac:dyDescent="0.35">
      <c r="A577" s="14">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x14ac:dyDescent="0.35">
      <c r="A578" s="14">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x14ac:dyDescent="0.35">
      <c r="A579" s="14">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x14ac:dyDescent="0.35">
      <c r="A580" s="14">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x14ac:dyDescent="0.35">
      <c r="A581" s="14">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x14ac:dyDescent="0.35">
      <c r="A582" s="14">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x14ac:dyDescent="0.35">
      <c r="A583" s="14">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x14ac:dyDescent="0.35">
      <c r="A584" s="14">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x14ac:dyDescent="0.35">
      <c r="A585" s="14">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x14ac:dyDescent="0.35">
      <c r="A586" s="14">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x14ac:dyDescent="0.35">
      <c r="A587" s="14">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x14ac:dyDescent="0.35">
      <c r="A588" s="14">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x14ac:dyDescent="0.35">
      <c r="A589" s="14">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x14ac:dyDescent="0.35">
      <c r="A590" s="14">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x14ac:dyDescent="0.35">
      <c r="A591" s="14">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x14ac:dyDescent="0.35">
      <c r="A592" s="14">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x14ac:dyDescent="0.35">
      <c r="A593" s="14">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x14ac:dyDescent="0.35">
      <c r="A594" s="14">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x14ac:dyDescent="0.35">
      <c r="A595" s="14">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x14ac:dyDescent="0.35">
      <c r="A596" s="14">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x14ac:dyDescent="0.35">
      <c r="A597" s="14">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x14ac:dyDescent="0.35">
      <c r="A598" s="14">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x14ac:dyDescent="0.35">
      <c r="A599" s="14">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x14ac:dyDescent="0.35">
      <c r="A600" s="14">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x14ac:dyDescent="0.35">
      <c r="A601" s="14">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x14ac:dyDescent="0.35">
      <c r="A602" s="14">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x14ac:dyDescent="0.35">
      <c r="A603" s="14">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x14ac:dyDescent="0.35">
      <c r="A604" s="14">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x14ac:dyDescent="0.35">
      <c r="A605" s="14">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x14ac:dyDescent="0.35">
      <c r="A606" s="14">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x14ac:dyDescent="0.35">
      <c r="A607" s="14">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x14ac:dyDescent="0.35">
      <c r="A608" s="14">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x14ac:dyDescent="0.35">
      <c r="A609" s="14">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x14ac:dyDescent="0.35">
      <c r="A610" s="14">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x14ac:dyDescent="0.35">
      <c r="A611" s="14">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x14ac:dyDescent="0.35">
      <c r="A612" s="14">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x14ac:dyDescent="0.35">
      <c r="A613" s="14">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x14ac:dyDescent="0.35">
      <c r="A614" s="14">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x14ac:dyDescent="0.35">
      <c r="A615" s="14">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x14ac:dyDescent="0.35">
      <c r="A616" s="14">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x14ac:dyDescent="0.35">
      <c r="A617" s="14">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x14ac:dyDescent="0.35">
      <c r="A618" s="14">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x14ac:dyDescent="0.35">
      <c r="A619" s="14">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x14ac:dyDescent="0.35">
      <c r="A620" s="14">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x14ac:dyDescent="0.35">
      <c r="A621" s="14">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x14ac:dyDescent="0.35">
      <c r="A622" s="14">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x14ac:dyDescent="0.35">
      <c r="A623" s="14">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x14ac:dyDescent="0.35">
      <c r="A624" s="14">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x14ac:dyDescent="0.35">
      <c r="A625" s="14">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x14ac:dyDescent="0.35">
      <c r="A626" s="14">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x14ac:dyDescent="0.35">
      <c r="A627" s="14">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x14ac:dyDescent="0.35">
      <c r="A628" s="14">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x14ac:dyDescent="0.35">
      <c r="A629" s="14">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x14ac:dyDescent="0.35">
      <c r="A630" s="14">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x14ac:dyDescent="0.35">
      <c r="A631" s="14">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x14ac:dyDescent="0.35">
      <c r="A632" s="14">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x14ac:dyDescent="0.35">
      <c r="A633" s="14">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x14ac:dyDescent="0.35">
      <c r="A634" s="14">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x14ac:dyDescent="0.35">
      <c r="A635" s="14">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x14ac:dyDescent="0.35">
      <c r="A636" s="14">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x14ac:dyDescent="0.35">
      <c r="A637" s="14">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x14ac:dyDescent="0.35">
      <c r="A638" s="14">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x14ac:dyDescent="0.35">
      <c r="A639" s="14">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x14ac:dyDescent="0.35">
      <c r="A640" s="14">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x14ac:dyDescent="0.35">
      <c r="A641" s="14">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x14ac:dyDescent="0.35">
      <c r="A642" s="14">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x14ac:dyDescent="0.35">
      <c r="A643" s="14">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x14ac:dyDescent="0.35">
      <c r="A644" s="14">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x14ac:dyDescent="0.35">
      <c r="A645" s="14">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x14ac:dyDescent="0.35">
      <c r="A646" s="14">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x14ac:dyDescent="0.35">
      <c r="A647" s="14">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x14ac:dyDescent="0.35">
      <c r="A648" s="14">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x14ac:dyDescent="0.35">
      <c r="A649" s="14">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x14ac:dyDescent="0.35">
      <c r="A650" s="14">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x14ac:dyDescent="0.35">
      <c r="A651" s="14">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x14ac:dyDescent="0.35">
      <c r="A652" s="14">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x14ac:dyDescent="0.35">
      <c r="A653" s="14">
        <v>6455</v>
      </c>
      <c r="B653" s="14" t="s">
        <v>1964</v>
      </c>
      <c r="C653" s="14">
        <v>1</v>
      </c>
      <c r="D653" s="14" t="s">
        <v>107</v>
      </c>
      <c r="E653" s="14">
        <v>70201007</v>
      </c>
      <c r="F653" s="14" t="s">
        <v>1965</v>
      </c>
      <c r="G653" s="14" t="s">
        <v>1966</v>
      </c>
      <c r="H653" s="14"/>
      <c r="I653" s="14"/>
      <c r="J653" s="14"/>
      <c r="K653" s="15">
        <v>70201015</v>
      </c>
      <c r="L653" s="15" t="s">
        <v>80</v>
      </c>
      <c r="M653" s="15" t="b">
        <v>1</v>
      </c>
      <c r="N653" s="15"/>
      <c r="O653" s="16" t="s">
        <v>187</v>
      </c>
      <c r="P653" s="16" t="s">
        <v>1967</v>
      </c>
      <c r="Q653" s="16">
        <v>57.7</v>
      </c>
      <c r="R653" s="16" t="b">
        <v>0</v>
      </c>
    </row>
    <row r="654" spans="1:18" x14ac:dyDescent="0.35">
      <c r="A654" s="14">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x14ac:dyDescent="0.35">
      <c r="A655" s="14">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x14ac:dyDescent="0.35">
      <c r="A656" s="14">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x14ac:dyDescent="0.35">
      <c r="A657" s="14">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x14ac:dyDescent="0.35">
      <c r="A658" s="14">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x14ac:dyDescent="0.35">
      <c r="A659" s="14">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x14ac:dyDescent="0.35">
      <c r="A660" s="14">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x14ac:dyDescent="0.35">
      <c r="A661" s="14">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x14ac:dyDescent="0.35">
      <c r="A662" s="14">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x14ac:dyDescent="0.35">
      <c r="A663" s="14">
        <v>8872</v>
      </c>
      <c r="B663" s="14" t="s">
        <v>1988</v>
      </c>
      <c r="C663" s="14">
        <v>1</v>
      </c>
      <c r="D663" s="14" t="s">
        <v>107</v>
      </c>
      <c r="E663" s="14">
        <v>70211010</v>
      </c>
      <c r="F663" s="14" t="s">
        <v>1256</v>
      </c>
      <c r="G663" s="14" t="s">
        <v>72</v>
      </c>
      <c r="H663" s="14"/>
      <c r="I663" s="14"/>
      <c r="J663" s="14"/>
      <c r="K663" s="15">
        <v>70211010</v>
      </c>
      <c r="L663" s="15" t="s">
        <v>80</v>
      </c>
      <c r="M663" s="15" t="b">
        <v>1</v>
      </c>
      <c r="N663" s="15"/>
      <c r="O663" s="16" t="s">
        <v>309</v>
      </c>
      <c r="P663" s="16" t="s">
        <v>1258</v>
      </c>
      <c r="Q663" s="16">
        <v>53.3</v>
      </c>
      <c r="R663" s="16" t="b">
        <v>0</v>
      </c>
    </row>
    <row r="664" spans="1:18" x14ac:dyDescent="0.35">
      <c r="A664" s="14">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x14ac:dyDescent="0.35">
      <c r="A665" s="14">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x14ac:dyDescent="0.35">
      <c r="A666" s="14">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x14ac:dyDescent="0.35">
      <c r="A667" s="14">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x14ac:dyDescent="0.35">
      <c r="A668" s="14">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x14ac:dyDescent="0.35">
      <c r="A669" s="14">
        <v>446</v>
      </c>
      <c r="B669" s="14" t="s">
        <v>2000</v>
      </c>
      <c r="C669" s="14">
        <v>1</v>
      </c>
      <c r="D669" s="14" t="s">
        <v>107</v>
      </c>
      <c r="E669" s="14">
        <v>70212166</v>
      </c>
      <c r="F669" s="14" t="s">
        <v>1218</v>
      </c>
      <c r="G669" s="14" t="s">
        <v>125</v>
      </c>
      <c r="H669" s="14"/>
      <c r="I669" s="14"/>
      <c r="J669" s="14"/>
      <c r="K669" s="15">
        <v>70211242</v>
      </c>
      <c r="L669" s="15" t="s">
        <v>80</v>
      </c>
      <c r="M669" s="15" t="b">
        <v>1</v>
      </c>
      <c r="N669" s="15"/>
      <c r="O669" s="16" t="s">
        <v>397</v>
      </c>
      <c r="P669" s="16" t="s">
        <v>1219</v>
      </c>
      <c r="Q669" s="16">
        <v>61.2</v>
      </c>
      <c r="R669" s="16" t="b">
        <v>0</v>
      </c>
    </row>
    <row r="670" spans="1:18" x14ac:dyDescent="0.35">
      <c r="A670" s="14">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x14ac:dyDescent="0.35">
      <c r="A671" s="14">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x14ac:dyDescent="0.35">
      <c r="A672" s="14">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x14ac:dyDescent="0.35">
      <c r="A673" s="14">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x14ac:dyDescent="0.35">
      <c r="A674" s="14">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x14ac:dyDescent="0.35">
      <c r="A675" s="14">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x14ac:dyDescent="0.35">
      <c r="A676" s="14">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x14ac:dyDescent="0.35">
      <c r="A677" s="14">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x14ac:dyDescent="0.35">
      <c r="A678" s="14">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x14ac:dyDescent="0.35">
      <c r="A679" s="14">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x14ac:dyDescent="0.35">
      <c r="A680" s="14">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x14ac:dyDescent="0.35">
      <c r="A681" s="14">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x14ac:dyDescent="0.35">
      <c r="A682" s="14">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x14ac:dyDescent="0.35">
      <c r="A683" s="14">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x14ac:dyDescent="0.35">
      <c r="A684" s="14">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x14ac:dyDescent="0.35">
      <c r="A685" s="14">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x14ac:dyDescent="0.35">
      <c r="A686" s="14">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x14ac:dyDescent="0.35">
      <c r="A687" s="14">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x14ac:dyDescent="0.35">
      <c r="A688" s="14">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x14ac:dyDescent="0.35">
      <c r="A689" s="14">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x14ac:dyDescent="0.35">
      <c r="A690" s="14">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x14ac:dyDescent="0.35">
      <c r="A691" s="14">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x14ac:dyDescent="0.35">
      <c r="A692" s="14">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x14ac:dyDescent="0.35">
      <c r="A693" s="14">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x14ac:dyDescent="0.35">
      <c r="A694" s="14">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x14ac:dyDescent="0.35">
      <c r="A695" s="14">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x14ac:dyDescent="0.35">
      <c r="A696" s="14">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x14ac:dyDescent="0.35">
      <c r="A697" s="14">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x14ac:dyDescent="0.35">
      <c r="A698" s="14">
        <v>4403</v>
      </c>
      <c r="B698" s="14" t="s">
        <v>2071</v>
      </c>
      <c r="C698" s="14">
        <v>1</v>
      </c>
      <c r="D698" s="14" t="s">
        <v>63</v>
      </c>
      <c r="E698" s="14">
        <v>70209048</v>
      </c>
      <c r="F698" s="14" t="s">
        <v>2072</v>
      </c>
      <c r="G698" s="14" t="s">
        <v>170</v>
      </c>
      <c r="H698" s="14"/>
      <c r="I698" s="14"/>
      <c r="J698" s="14"/>
      <c r="K698" s="24">
        <v>70209050</v>
      </c>
      <c r="L698" s="15" t="s">
        <v>80</v>
      </c>
      <c r="M698" s="15" t="b">
        <v>1</v>
      </c>
      <c r="N698" s="15"/>
      <c r="O698" s="16" t="s">
        <v>1437</v>
      </c>
      <c r="P698" s="16" t="s">
        <v>2073</v>
      </c>
      <c r="Q698" s="16">
        <v>69</v>
      </c>
      <c r="R698" s="16" t="b">
        <v>1</v>
      </c>
    </row>
    <row r="699" spans="1:18" x14ac:dyDescent="0.35">
      <c r="A699" s="14">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x14ac:dyDescent="0.35">
      <c r="A700" s="14">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x14ac:dyDescent="0.35">
      <c r="A701" s="14">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x14ac:dyDescent="0.35">
      <c r="A702" s="14">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x14ac:dyDescent="0.35">
      <c r="A703" s="14">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x14ac:dyDescent="0.35">
      <c r="A704" s="14">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x14ac:dyDescent="0.35">
      <c r="A705" s="14">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x14ac:dyDescent="0.35">
      <c r="A706" s="14">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x14ac:dyDescent="0.35">
      <c r="A707" s="14">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x14ac:dyDescent="0.35">
      <c r="A708" s="14">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x14ac:dyDescent="0.35">
      <c r="A709" s="14">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x14ac:dyDescent="0.35">
      <c r="A710" s="14">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x14ac:dyDescent="0.35">
      <c r="A711" s="14">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x14ac:dyDescent="0.35">
      <c r="A712" s="14">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x14ac:dyDescent="0.35">
      <c r="A713" s="14">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x14ac:dyDescent="0.35">
      <c r="A714" s="14">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x14ac:dyDescent="0.35">
      <c r="A715" s="14">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x14ac:dyDescent="0.35">
      <c r="A716" s="14">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x14ac:dyDescent="0.35">
      <c r="A717" s="14">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x14ac:dyDescent="0.35">
      <c r="A718" s="14">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x14ac:dyDescent="0.35">
      <c r="A719" s="14">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x14ac:dyDescent="0.35">
      <c r="A720" s="14">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x14ac:dyDescent="0.35">
      <c r="A721" s="14">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x14ac:dyDescent="0.35">
      <c r="A722" s="14">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x14ac:dyDescent="0.35">
      <c r="A723" s="14">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x14ac:dyDescent="0.35">
      <c r="A724" s="14">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x14ac:dyDescent="0.35">
      <c r="A725" s="14">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x14ac:dyDescent="0.35">
      <c r="A726" s="14">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x14ac:dyDescent="0.35">
      <c r="A727" s="14">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x14ac:dyDescent="0.35">
      <c r="A728" s="14">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x14ac:dyDescent="0.35">
      <c r="A729" s="14">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x14ac:dyDescent="0.35">
      <c r="A730" s="14">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x14ac:dyDescent="0.35">
      <c r="A731" s="14">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x14ac:dyDescent="0.35">
      <c r="A732" s="14">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x14ac:dyDescent="0.35">
      <c r="A733" s="14">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x14ac:dyDescent="0.35">
      <c r="A734" s="14">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x14ac:dyDescent="0.35">
      <c r="A735" s="14">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x14ac:dyDescent="0.35">
      <c r="A736" s="14">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x14ac:dyDescent="0.35">
      <c r="A737" s="14">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x14ac:dyDescent="0.35">
      <c r="A738" s="14">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x14ac:dyDescent="0.35">
      <c r="A739" s="14">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x14ac:dyDescent="0.35">
      <c r="A740" s="14">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x14ac:dyDescent="0.35">
      <c r="A741" s="14">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x14ac:dyDescent="0.35">
      <c r="A742" s="14">
        <v>2311</v>
      </c>
      <c r="B742" s="14" t="s">
        <v>2160</v>
      </c>
      <c r="C742" s="14">
        <v>1</v>
      </c>
      <c r="D742" s="14" t="s">
        <v>107</v>
      </c>
      <c r="E742" s="14">
        <v>70213088</v>
      </c>
      <c r="F742" s="14" t="s">
        <v>1417</v>
      </c>
      <c r="G742" s="14" t="s">
        <v>87</v>
      </c>
      <c r="H742" s="14" t="s">
        <v>458</v>
      </c>
      <c r="I742" s="14"/>
      <c r="J742" s="14" t="s">
        <v>459</v>
      </c>
      <c r="K742" s="14"/>
      <c r="L742" s="14" t="s">
        <v>458</v>
      </c>
      <c r="M742" s="14" t="b">
        <v>1</v>
      </c>
      <c r="N742" s="14"/>
      <c r="O742" s="14" t="s">
        <v>2161</v>
      </c>
      <c r="P742" s="14" t="s">
        <v>1418</v>
      </c>
      <c r="Q742" s="14">
        <v>64</v>
      </c>
      <c r="R742" s="14" t="b">
        <v>0</v>
      </c>
    </row>
    <row r="743" spans="1:18" x14ac:dyDescent="0.35">
      <c r="A743" s="14">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x14ac:dyDescent="0.35">
      <c r="A744" s="14">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x14ac:dyDescent="0.35">
      <c r="A745" s="14">
        <v>1310</v>
      </c>
      <c r="B745" s="14" t="s">
        <v>2164</v>
      </c>
      <c r="C745" s="14">
        <v>1</v>
      </c>
      <c r="D745" s="14" t="s">
        <v>107</v>
      </c>
      <c r="E745" s="14">
        <v>70205045</v>
      </c>
      <c r="F745" s="14" t="s">
        <v>2165</v>
      </c>
      <c r="G745" s="14" t="s">
        <v>65</v>
      </c>
      <c r="H745" s="14" t="s">
        <v>458</v>
      </c>
      <c r="I745" s="14"/>
      <c r="J745" s="14" t="s">
        <v>459</v>
      </c>
      <c r="K745" s="14"/>
      <c r="L745" s="14" t="s">
        <v>458</v>
      </c>
      <c r="M745" s="14" t="b">
        <v>1</v>
      </c>
      <c r="N745" s="14"/>
      <c r="O745" s="14" t="s">
        <v>2166</v>
      </c>
      <c r="P745" s="14" t="s">
        <v>2167</v>
      </c>
      <c r="Q745" s="14">
        <v>50</v>
      </c>
      <c r="R745" s="14" t="b">
        <v>1</v>
      </c>
    </row>
    <row r="746" spans="1:18" x14ac:dyDescent="0.35">
      <c r="A746" s="14">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x14ac:dyDescent="0.35">
      <c r="A747" s="14">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x14ac:dyDescent="0.35">
      <c r="A748" s="14">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x14ac:dyDescent="0.35">
      <c r="A749" s="14">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x14ac:dyDescent="0.35">
      <c r="A750" s="14">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x14ac:dyDescent="0.35">
      <c r="A751" s="14">
        <v>304</v>
      </c>
      <c r="B751" s="14" t="s">
        <v>2177</v>
      </c>
      <c r="C751" s="14">
        <v>1</v>
      </c>
      <c r="D751" s="14" t="s">
        <v>107</v>
      </c>
      <c r="E751" s="14">
        <v>70211136</v>
      </c>
      <c r="F751" s="14" t="s">
        <v>234</v>
      </c>
      <c r="G751" s="14" t="s">
        <v>157</v>
      </c>
      <c r="H751" s="14"/>
      <c r="I751" s="14"/>
      <c r="J751" s="14"/>
      <c r="K751" s="14">
        <v>70216018</v>
      </c>
      <c r="L751" s="15" t="s">
        <v>80</v>
      </c>
      <c r="M751" s="15" t="b">
        <v>1</v>
      </c>
      <c r="N751" s="15"/>
      <c r="O751" s="16" t="s">
        <v>236</v>
      </c>
      <c r="P751" s="16" t="s">
        <v>237</v>
      </c>
      <c r="Q751" s="16">
        <v>64.3</v>
      </c>
      <c r="R751" s="16" t="b">
        <v>1</v>
      </c>
    </row>
    <row r="752" spans="1:18" x14ac:dyDescent="0.35">
      <c r="A752" s="14">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x14ac:dyDescent="0.35">
      <c r="A753" s="14">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x14ac:dyDescent="0.35">
      <c r="A754" s="14">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x14ac:dyDescent="0.35">
      <c r="A755" s="14">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x14ac:dyDescent="0.35">
      <c r="A756" s="14">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x14ac:dyDescent="0.35">
      <c r="A757" s="14">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x14ac:dyDescent="0.35">
      <c r="A758" s="14">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x14ac:dyDescent="0.35">
      <c r="A759" s="14">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x14ac:dyDescent="0.35">
      <c r="A760" s="14">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x14ac:dyDescent="0.35">
      <c r="A761" s="14">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x14ac:dyDescent="0.35">
      <c r="A762" s="14">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x14ac:dyDescent="0.35">
      <c r="A763" s="14">
        <v>6453</v>
      </c>
      <c r="B763" s="14" t="s">
        <v>2201</v>
      </c>
      <c r="C763" s="14">
        <v>1</v>
      </c>
      <c r="D763" s="14" t="s">
        <v>63</v>
      </c>
      <c r="E763" s="14">
        <v>70201103</v>
      </c>
      <c r="F763" s="14" t="s">
        <v>184</v>
      </c>
      <c r="G763" s="14" t="s">
        <v>185</v>
      </c>
      <c r="H763" s="14"/>
      <c r="I763" s="14"/>
      <c r="J763" s="14"/>
      <c r="K763" s="15">
        <v>70201103</v>
      </c>
      <c r="L763" s="15" t="s">
        <v>80</v>
      </c>
      <c r="M763" s="15" t="b">
        <v>1</v>
      </c>
      <c r="N763" s="15"/>
      <c r="O763" s="16" t="s">
        <v>187</v>
      </c>
      <c r="P763" s="16" t="s">
        <v>188</v>
      </c>
      <c r="Q763" s="16">
        <v>78.3</v>
      </c>
      <c r="R763" s="16" t="b">
        <v>0</v>
      </c>
    </row>
    <row r="764" spans="1:18" x14ac:dyDescent="0.35">
      <c r="A764" s="14">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x14ac:dyDescent="0.35">
      <c r="A765" s="14">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x14ac:dyDescent="0.35">
      <c r="A766" s="14">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x14ac:dyDescent="0.35">
      <c r="A767" s="14">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x14ac:dyDescent="0.35">
      <c r="A768" s="14">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x14ac:dyDescent="0.35">
      <c r="A769" s="14">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x14ac:dyDescent="0.35">
      <c r="A770" s="14">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x14ac:dyDescent="0.35">
      <c r="A771" s="14">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x14ac:dyDescent="0.35">
      <c r="A772" s="14">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x14ac:dyDescent="0.35">
      <c r="A773" s="14">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autoFilter ref="A1:S773" xr:uid="{00000000-0001-0000-0100-000000000000}"/>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MONZON</cp:lastModifiedBy>
  <dcterms:created xsi:type="dcterms:W3CDTF">2026-08-19T10:12:20Z</dcterms:created>
  <dcterms:modified xsi:type="dcterms:W3CDTF">2026-08-25T02:41:20Z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